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iagrams/data1.xml" ContentType="application/vnd.openxmlformats-officedocument.drawingml.diagramData+xml"/>
  <Override PartName="/xl/diagrams/colors1.xml" ContentType="application/vnd.openxmlformats-officedocument.drawingml.diagramColor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iagrams/drawing1.xml" ContentType="application/vnd.ms-office.drawingml.diagramDrawing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240" yWindow="315" windowWidth="11520" windowHeight="4980" tabRatio="742"/>
  </bookViews>
  <sheets>
    <sheet name="Copyright" sheetId="33" r:id="rId1"/>
    <sheet name="V2-Benefit" sheetId="40" r:id="rId2"/>
    <sheet name="V2-Revenue" sheetId="37" r:id="rId3"/>
    <sheet name="V2- Cost" sheetId="34" r:id="rId4"/>
    <sheet name="V2-Profit" sheetId="38" r:id="rId5"/>
    <sheet name="V2-Financial" sheetId="43" r:id="rId6"/>
    <sheet name="V2-Reporting" sheetId="39" r:id="rId7"/>
    <sheet name="V2-Table" sheetId="14" r:id="rId8"/>
    <sheet name="V2-Longitudinal " sheetId="41" r:id="rId9"/>
  </sheets>
  <calcPr calcId="125725"/>
</workbook>
</file>

<file path=xl/calcChain.xml><?xml version="1.0" encoding="utf-8"?>
<calcChain xmlns="http://schemas.openxmlformats.org/spreadsheetml/2006/main">
  <c r="L36" i="34"/>
  <c r="I36" s="1"/>
  <c r="L30"/>
  <c r="I27" s="1"/>
  <c r="L21"/>
  <c r="L15"/>
  <c r="F9"/>
  <c r="R54" i="38"/>
  <c r="R48"/>
  <c r="I15" i="34" l="1"/>
  <c r="F15" s="1"/>
  <c r="C9"/>
  <c r="I30" i="40"/>
  <c r="L33" i="43" l="1"/>
  <c r="L31"/>
  <c r="L30"/>
  <c r="I23"/>
  <c r="L29" s="1"/>
  <c r="L10"/>
  <c r="I10" s="1"/>
  <c r="C3"/>
  <c r="C2"/>
  <c r="P15" i="41"/>
  <c r="O15"/>
  <c r="N15"/>
  <c r="M15"/>
  <c r="L15"/>
  <c r="K15"/>
  <c r="J15"/>
  <c r="I15"/>
  <c r="H15"/>
  <c r="G15"/>
  <c r="F15"/>
  <c r="E15"/>
  <c r="P14"/>
  <c r="O14"/>
  <c r="N14"/>
  <c r="M14"/>
  <c r="L14"/>
  <c r="K14"/>
  <c r="J14"/>
  <c r="I14"/>
  <c r="H14"/>
  <c r="G14"/>
  <c r="F14"/>
  <c r="E14"/>
  <c r="P11"/>
  <c r="O11"/>
  <c r="N11"/>
  <c r="M11"/>
  <c r="L11"/>
  <c r="K11"/>
  <c r="J11"/>
  <c r="I11"/>
  <c r="H11"/>
  <c r="G11"/>
  <c r="F11"/>
  <c r="E11"/>
  <c r="P10"/>
  <c r="O10"/>
  <c r="N10"/>
  <c r="M10"/>
  <c r="L10"/>
  <c r="K10"/>
  <c r="J10"/>
  <c r="I10"/>
  <c r="H10"/>
  <c r="G10"/>
  <c r="F10"/>
  <c r="E10"/>
  <c r="C2"/>
  <c r="C1"/>
  <c r="O31" i="38"/>
  <c r="L31" s="1"/>
  <c r="L25"/>
  <c r="O19"/>
  <c r="O13"/>
  <c r="L13" s="1"/>
  <c r="I13" s="1"/>
  <c r="I7"/>
  <c r="I27" i="37"/>
  <c r="L21"/>
  <c r="L15"/>
  <c r="F19" i="43" l="1"/>
  <c r="L32"/>
  <c r="F7"/>
  <c r="F7" i="38"/>
  <c r="L33" i="40"/>
  <c r="F24" s="1"/>
  <c r="F45"/>
  <c r="C3"/>
  <c r="C2"/>
  <c r="D7" i="39"/>
  <c r="D8" s="1"/>
  <c r="D6"/>
  <c r="H7"/>
  <c r="H6"/>
  <c r="C2"/>
  <c r="C1"/>
  <c r="L13"/>
  <c r="L8"/>
  <c r="H18"/>
  <c r="L34" i="43" l="1"/>
  <c r="C7"/>
  <c r="C24" i="40"/>
  <c r="H8" i="39"/>
  <c r="H23"/>
  <c r="O76" i="38"/>
  <c r="R73"/>
  <c r="R70"/>
  <c r="O61"/>
  <c r="R55"/>
  <c r="O55" s="1"/>
  <c r="R49"/>
  <c r="O49" s="1"/>
  <c r="O64"/>
  <c r="I43"/>
  <c r="C3"/>
  <c r="C2"/>
  <c r="I15" i="37"/>
  <c r="F9"/>
  <c r="O70" i="38" l="1"/>
  <c r="L70" s="1"/>
  <c r="L61"/>
  <c r="L49"/>
  <c r="I49" l="1"/>
  <c r="F43"/>
  <c r="C7" s="1"/>
  <c r="L33" i="37" l="1"/>
  <c r="I33" s="1"/>
  <c r="F15" s="1"/>
  <c r="C3"/>
  <c r="C2"/>
  <c r="C3" i="34"/>
  <c r="C2"/>
  <c r="O10" i="14"/>
  <c r="O15" s="1"/>
  <c r="O19" s="1"/>
  <c r="O22" s="1"/>
  <c r="M10"/>
  <c r="M15" s="1"/>
  <c r="M19" s="1"/>
  <c r="M22" s="1"/>
  <c r="K10"/>
  <c r="K15" s="1"/>
  <c r="K19" s="1"/>
  <c r="K22" s="1"/>
  <c r="I10"/>
  <c r="I15" s="1"/>
  <c r="I19" s="1"/>
  <c r="I22" s="1"/>
  <c r="E10" l="1"/>
  <c r="E15" s="1"/>
  <c r="E19" s="1"/>
  <c r="O25"/>
  <c r="O28" s="1"/>
  <c r="O31" s="1"/>
  <c r="O34" s="1"/>
  <c r="O37" s="1"/>
  <c r="M25"/>
  <c r="M28" s="1"/>
  <c r="M31" s="1"/>
  <c r="M34" s="1"/>
  <c r="M37" s="1"/>
  <c r="K25"/>
  <c r="K28" s="1"/>
  <c r="K31" s="1"/>
  <c r="K34" s="1"/>
  <c r="K37" s="1"/>
  <c r="I25"/>
  <c r="I28" s="1"/>
  <c r="I31" s="1"/>
  <c r="I34" s="1"/>
  <c r="I37" s="1"/>
  <c r="C9" i="37" l="1"/>
  <c r="G10" i="14"/>
  <c r="G15" s="1"/>
  <c r="G19" s="1"/>
  <c r="G22" s="1"/>
  <c r="G25" s="1"/>
  <c r="G28" s="1"/>
  <c r="G31" s="1"/>
  <c r="G34" s="1"/>
  <c r="G37" s="1"/>
  <c r="C3" l="1"/>
  <c r="C2"/>
</calcChain>
</file>

<file path=xl/sharedStrings.xml><?xml version="1.0" encoding="utf-8"?>
<sst xmlns="http://schemas.openxmlformats.org/spreadsheetml/2006/main" count="312" uniqueCount="168">
  <si>
    <t>Year 0</t>
  </si>
  <si>
    <t>Year 1</t>
  </si>
  <si>
    <t>Year 2</t>
  </si>
  <si>
    <t>Year 3</t>
  </si>
  <si>
    <t>Year 4</t>
  </si>
  <si>
    <t>Parameter</t>
  </si>
  <si>
    <t>Baseline</t>
  </si>
  <si>
    <t>Improvement</t>
  </si>
  <si>
    <t>Cotton Gin Calendar Time (Hrs)</t>
  </si>
  <si>
    <t>Cotton Gin Down Time Maintenance (Hrs)</t>
  </si>
  <si>
    <t>Cotton Gin Scheduled Loss (Hrs)</t>
  </si>
  <si>
    <t>Cotton Gin Unscheduled Loss Other (Hrs)</t>
  </si>
  <si>
    <t>Cotton Gin Unscheduled Loss Failures (Hrs)</t>
  </si>
  <si>
    <t>Cotton Gin Available Time (Hrs)</t>
  </si>
  <si>
    <t>Cotton Gin No Scheduled Production (Hrs)</t>
  </si>
  <si>
    <t>Cotton Gin Operating Standby (Hrs)</t>
  </si>
  <si>
    <t>Cotton Gin Utilised Time (Hrs)</t>
  </si>
  <si>
    <t>Cotton Gin Operating Delay (Hrs)</t>
  </si>
  <si>
    <t>Cotton Gin Operating Time (Hrs)</t>
  </si>
  <si>
    <t>Total Metres Rolled</t>
  </si>
  <si>
    <t>Number of Cotton Gins</t>
  </si>
  <si>
    <t>Average Metres per Hour</t>
  </si>
  <si>
    <t>Amount of Processed Tonnes</t>
  </si>
  <si>
    <t>Total Processed Tonnes with Factory</t>
  </si>
  <si>
    <t>m/hr</t>
  </si>
  <si>
    <t>m</t>
  </si>
  <si>
    <t>m/sep</t>
  </si>
  <si>
    <t>sep</t>
  </si>
  <si>
    <t>sep/t</t>
  </si>
  <si>
    <t>t</t>
  </si>
  <si>
    <t>#</t>
  </si>
  <si>
    <t>Average Separations per Processed Tonne</t>
  </si>
  <si>
    <t>Number of Separations</t>
  </si>
  <si>
    <t>Average Metres per Separations</t>
  </si>
  <si>
    <t>Units</t>
  </si>
  <si>
    <t>hrs</t>
  </si>
  <si>
    <t>Value Driver Tree Version</t>
  </si>
  <si>
    <t>Total General &amp; Admin Cost ($)</t>
  </si>
  <si>
    <t>Consumables ($)</t>
  </si>
  <si>
    <t>Reagents ($)</t>
  </si>
  <si>
    <t>Total hours of work a year per person (hrs)</t>
  </si>
  <si>
    <t>Average days worked a year (#)</t>
  </si>
  <si>
    <t>Average shift (Hrs)</t>
  </si>
  <si>
    <t>Total Cost ($)</t>
  </si>
  <si>
    <t>Total  Fixed Cost ($)</t>
  </si>
  <si>
    <t>Total  External Services Cost ($)</t>
  </si>
  <si>
    <t>Total  Variable Cost ($)</t>
  </si>
  <si>
    <t>Total  Materials Cost ($)</t>
  </si>
  <si>
    <t>Total  Electricity Cost ($)</t>
  </si>
  <si>
    <t xml:space="preserve"> Operating Time (UtilHr)</t>
  </si>
  <si>
    <t xml:space="preserve"> Power Cost ($/UtilHr)</t>
  </si>
  <si>
    <t xml:space="preserve"> Power Consumption (Kwh/UtilHr)</t>
  </si>
  <si>
    <t>Total  Labour Cost ($)</t>
  </si>
  <si>
    <t>No. of  Employees (#)</t>
  </si>
  <si>
    <t>Average cost per  Employees ($/Hr)</t>
  </si>
  <si>
    <t>Input</t>
  </si>
  <si>
    <t>Legend</t>
  </si>
  <si>
    <t>Calculation</t>
  </si>
  <si>
    <t>X</t>
  </si>
  <si>
    <t>+</t>
  </si>
  <si>
    <t>Foregin Exchange (USD/AUD)</t>
  </si>
  <si>
    <t>Total Revenue ($USD)</t>
  </si>
  <si>
    <t>Average Price ($USD/L)</t>
  </si>
  <si>
    <t>Domestic Price ($AUD/L)</t>
  </si>
  <si>
    <t>÷</t>
  </si>
  <si>
    <t>Total Litres produced from Consumable (L)</t>
  </si>
  <si>
    <t>Total  Chemical Input Contrained (L)</t>
  </si>
  <si>
    <t>Total Litres Constrained (L)</t>
  </si>
  <si>
    <t>Min</t>
  </si>
  <si>
    <t>Litres per hour (L/hr)</t>
  </si>
  <si>
    <t>Number of Employees (#)</t>
  </si>
  <si>
    <t>Gross Profit ($)</t>
  </si>
  <si>
    <t>-</t>
  </si>
  <si>
    <t>Linked value</t>
  </si>
  <si>
    <t>Planned</t>
  </si>
  <si>
    <t>Actual</t>
  </si>
  <si>
    <t>Variance</t>
  </si>
  <si>
    <t>Total Labour Costs ($)</t>
  </si>
  <si>
    <t>Margaret Gold
(CFO)</t>
  </si>
  <si>
    <t>Luke King
(Supervisor)</t>
  </si>
  <si>
    <t>Matthew Wallace
(Superintendent)</t>
  </si>
  <si>
    <t>Susan Grace
(IR)</t>
  </si>
  <si>
    <t>David O'Sullivan
(HR)</t>
  </si>
  <si>
    <t>Increase revenue from accurate timesheets ($)</t>
  </si>
  <si>
    <t>Increased hours from recording at least planned capacity (hrs)</t>
  </si>
  <si>
    <t>Recoverable Chargeable Rate ($/hr)</t>
  </si>
  <si>
    <t>Average Chargeout Rate ($/hr)</t>
  </si>
  <si>
    <t>% of increase that is chargeable</t>
  </si>
  <si>
    <t>FTEs charging less than planned capacity (#)</t>
  </si>
  <si>
    <t>Days worked per year (#)</t>
  </si>
  <si>
    <t>Additional hours per resource day</t>
  </si>
  <si>
    <t>Gap from planned capacity</t>
  </si>
  <si>
    <t>% of improvement</t>
  </si>
  <si>
    <t>Planned hours (hrs)</t>
  </si>
  <si>
    <t>x</t>
  </si>
  <si>
    <t>Chargeable hours</t>
  </si>
  <si>
    <t>Value Driver Tree</t>
  </si>
  <si>
    <t>Benefit Dependency Network</t>
  </si>
  <si>
    <t>Assumption</t>
  </si>
  <si>
    <t>Investment Objective</t>
  </si>
  <si>
    <t>Business Benefit</t>
  </si>
  <si>
    <t>Consumable (L)</t>
  </si>
  <si>
    <t>Litres Produced per Consumnable Litres (L/L)</t>
  </si>
  <si>
    <t>Litres Produced per Reagent Litres (L/L)</t>
  </si>
  <si>
    <t>Total Production Input (L)</t>
  </si>
  <si>
    <t>Total Labour (L)</t>
  </si>
  <si>
    <t>Domestic Price ($USD/L)</t>
  </si>
  <si>
    <t>Average Price ($AUD/L)</t>
  </si>
  <si>
    <t>Foregin Exchange ($AUD/$USD)</t>
  </si>
  <si>
    <t>Total Revenue ($)</t>
  </si>
  <si>
    <t>Total Cost</t>
  </si>
  <si>
    <t>J</t>
  </si>
  <si>
    <t>A</t>
  </si>
  <si>
    <t>S</t>
  </si>
  <si>
    <t>O</t>
  </si>
  <si>
    <t>N</t>
  </si>
  <si>
    <t>D</t>
  </si>
  <si>
    <t>F</t>
  </si>
  <si>
    <t>M</t>
  </si>
  <si>
    <t>Production</t>
  </si>
  <si>
    <t>Variable Cost</t>
  </si>
  <si>
    <t>Total Variable Cost</t>
  </si>
  <si>
    <t>Fixed Cost</t>
  </si>
  <si>
    <t>Economic Value Added</t>
  </si>
  <si>
    <t>Cost of Capital</t>
  </si>
  <si>
    <t>NOPAT</t>
  </si>
  <si>
    <t>EBIT</t>
  </si>
  <si>
    <t>Contribution Margin</t>
  </si>
  <si>
    <t>Sales</t>
  </si>
  <si>
    <t>Cost of Goods Sold</t>
  </si>
  <si>
    <t>Cost of Organisation</t>
  </si>
  <si>
    <t>WACC</t>
  </si>
  <si>
    <t>Net Assets</t>
  </si>
  <si>
    <t>Fixed Assets</t>
  </si>
  <si>
    <t>Current Assets</t>
  </si>
  <si>
    <t>Ratio</t>
  </si>
  <si>
    <t>Definition</t>
  </si>
  <si>
    <t>Name</t>
  </si>
  <si>
    <t>Asset turnover</t>
  </si>
  <si>
    <t>sales / assets</t>
  </si>
  <si>
    <t>Current asset turnover</t>
  </si>
  <si>
    <t>Fixed asset turnover</t>
  </si>
  <si>
    <t>sales / fixed assets</t>
  </si>
  <si>
    <t>EBIT margin</t>
  </si>
  <si>
    <t>EBIT / sales</t>
  </si>
  <si>
    <t>Gross profit margin</t>
  </si>
  <si>
    <t>(sales – cost of goods sold) / sales</t>
  </si>
  <si>
    <t>ROA</t>
  </si>
  <si>
    <t>net income / assets</t>
  </si>
  <si>
    <t>sales / current assets</t>
  </si>
  <si>
    <t>Tax</t>
  </si>
  <si>
    <t xml:space="preserve"> </t>
  </si>
  <si>
    <t>Cost per Consumable L ($/L)</t>
  </si>
  <si>
    <t>Cost per Reagent ($/L)</t>
  </si>
  <si>
    <t>Reagents (L)</t>
  </si>
  <si>
    <t>Electricity Cost ($/Kwh)</t>
  </si>
  <si>
    <t>This work is licensed under a Creative Commons Attribution-NonCommercial-ShareAlike 4.0 International License</t>
  </si>
  <si>
    <t>Copyright</t>
  </si>
  <si>
    <t>Example Value Driver Trees</t>
  </si>
  <si>
    <t>Value Driver Modelling</t>
  </si>
  <si>
    <t>Benefits Realisation VDT</t>
  </si>
  <si>
    <t>Revenue VDT</t>
  </si>
  <si>
    <t>Cost VDT</t>
  </si>
  <si>
    <t>Profit VDT</t>
  </si>
  <si>
    <t>Financial VDT</t>
  </si>
  <si>
    <t>Reporting</t>
  </si>
  <si>
    <t>Value Driver Table</t>
  </si>
  <si>
    <t>Longitudinal VDT</t>
  </si>
</sst>
</file>

<file path=xl/styles.xml><?xml version="1.0" encoding="utf-8"?>
<styleSheet xmlns="http://schemas.openxmlformats.org/spreadsheetml/2006/main">
  <numFmts count="41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#,##0_);[Red]\(#,##0\);&quot;-  &quot;"/>
    <numFmt numFmtId="165" formatCode="&quot;$&quot;0.00\/\b\c\m"/>
    <numFmt numFmtId="166" formatCode="#,##0_)\ \ ;[Red]\(#,##0\)\ \ "/>
    <numFmt numFmtId="167" formatCode="#,##0.00\ ;\(#,##0.00\)"/>
    <numFmt numFmtId="168" formatCode="\ #,##0.0;\(#,##0.0\);\ &quot;-&quot;;@"/>
    <numFmt numFmtId="169" formatCode="#,##0.000_);[Red]\(#,##0.000\)"/>
    <numFmt numFmtId="170" formatCode="#,##0.0000_);[Red]\(#,##0.0000\)"/>
    <numFmt numFmtId="171" formatCode="#,##0.000000_);[Red]\(#,##0.000000\)"/>
    <numFmt numFmtId="172" formatCode="0.0%;[Black]\(0.0%\)"/>
    <numFmt numFmtId="173" formatCode="_(* #,##0.00_);_(* \(#,##0.00\);_(* &quot;-&quot;??_);_(@_)"/>
    <numFmt numFmtId="174" formatCode="* #,##0.00;* \-#,##0.00;* &quot;-&quot;??;@"/>
    <numFmt numFmtId="175" formatCode="#,##0.0"/>
    <numFmt numFmtId="176" formatCode="#,##0.0_);[Red]\(#,##0.0\)"/>
    <numFmt numFmtId="177" formatCode="#,##0.000"/>
    <numFmt numFmtId="178" formatCode="_(&quot;$&quot;* #,##0.00_);_(&quot;$&quot;* \(#,##0.00\);_(&quot;$&quot;* &quot;-&quot;??_);_(@_)"/>
    <numFmt numFmtId="179" formatCode="&quot;$&quot;#,##0.00_);&quot;$&quot;\(#,##0.00\)"/>
    <numFmt numFmtId="180" formatCode="&quot;$&quot;#,##0\ ;\(&quot;$&quot;#,##0\)"/>
    <numFmt numFmtId="181" formatCode="d\ mmm\ yy"/>
    <numFmt numFmtId="182" formatCode="_-[$€-2]* #,##0.00_-;\-[$€-2]* #,##0.00_-;_-[$€-2]* &quot;-&quot;??_-"/>
    <numFmt numFmtId="183" formatCode="#,##0.0_);\(#,##0.0\)"/>
    <numFmt numFmtId="184" formatCode="_ * #,##0_ ;_ * \-#,##0_ ;_ * &quot;-&quot;_ ;_ @_ "/>
    <numFmt numFmtId="185" formatCode="_ * #,##0.00_ ;_ * \-#,##0.00_ ;_ * &quot;-&quot;??_ ;_ @_ "/>
    <numFmt numFmtId="186" formatCode="mmmm"/>
    <numFmt numFmtId="187" formatCode="0.00_)"/>
    <numFmt numFmtId="188" formatCode="0.0000%"/>
    <numFmt numFmtId="189" formatCode="\£0.00"/>
    <numFmt numFmtId="190" formatCode="#,##0.0,,;\(#,##0.0,,\)"/>
    <numFmt numFmtId="191" formatCode="_(#,##0.0_);_(\(#,##0.0\)"/>
    <numFmt numFmtId="192" formatCode="0.0%"/>
    <numFmt numFmtId="193" formatCode="#,##0;[Red]\-#,##0;&quot;-&quot;"/>
    <numFmt numFmtId="194" formatCode="&quot;R&quot;\ #,##0;[Red]&quot;R&quot;\ \-#,##0"/>
    <numFmt numFmtId="195" formatCode="#,##0__;\(#,##0\)_)"/>
    <numFmt numFmtId="196" formatCode="yyyy"/>
    <numFmt numFmtId="197" formatCode="_-* #,##0_-;\-* #,##0_-;_-* &quot;-&quot;??_-;_-@_-"/>
    <numFmt numFmtId="198" formatCode="_(* #,##0_);_(* \(#,##0\);_(* &quot;-&quot;??_);_(@_)"/>
    <numFmt numFmtId="199" formatCode="_(* #,##0_);\(* #,##0\)"/>
    <numFmt numFmtId="200" formatCode="0.0"/>
    <numFmt numFmtId="201" formatCode="_-&quot;$&quot;* #,##0_-;\-&quot;$&quot;* #,##0_-;_-&quot;$&quot;* &quot;-&quot;??_-;_-@_-"/>
  </numFmts>
  <fonts count="7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Times New Roman"/>
      <family val="1"/>
    </font>
    <font>
      <sz val="11"/>
      <color indexed="20"/>
      <name val="Calibri"/>
      <family val="2"/>
    </font>
    <font>
      <sz val="12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4"/>
      <name val="Helv"/>
    </font>
    <font>
      <sz val="10"/>
      <name val="Book Antiqua"/>
      <family val="1"/>
    </font>
    <font>
      <sz val="12"/>
      <name val="Book Antiqua"/>
      <family val="1"/>
    </font>
    <font>
      <sz val="12"/>
      <name val="Palatino"/>
    </font>
    <font>
      <sz val="12"/>
      <name val="Palatino"/>
      <family val="1"/>
    </font>
    <font>
      <b/>
      <sz val="10"/>
      <name val="Arial"/>
      <family val="2"/>
    </font>
    <font>
      <sz val="12"/>
      <color indexed="24"/>
      <name val="Times New Roman"/>
      <family val="1"/>
    </font>
    <font>
      <i/>
      <sz val="11"/>
      <color indexed="23"/>
      <name val="Calibri"/>
      <family val="2"/>
    </font>
    <font>
      <sz val="10"/>
      <name val="Times"/>
    </font>
    <font>
      <sz val="10"/>
      <name val="Times"/>
      <family val="1"/>
    </font>
    <font>
      <sz val="11"/>
      <color indexed="17"/>
      <name val="Calibri"/>
      <family val="2"/>
    </font>
    <font>
      <sz val="8"/>
      <name val="Arial"/>
      <family val="2"/>
    </font>
    <font>
      <b/>
      <sz val="10"/>
      <color indexed="24"/>
      <name val="Times New Roman"/>
      <family val="1"/>
    </font>
    <font>
      <b/>
      <sz val="15"/>
      <color indexed="56"/>
      <name val="Calibri"/>
      <family val="2"/>
    </font>
    <font>
      <sz val="10"/>
      <color indexed="24"/>
      <name val="Times New Roman"/>
      <family val="1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2"/>
      <color indexed="16"/>
      <name val="Times New Roman"/>
      <family val="1"/>
    </font>
    <font>
      <b/>
      <sz val="18"/>
      <name val="Avant Garde"/>
    </font>
    <font>
      <sz val="11"/>
      <color indexed="60"/>
      <name val="Calibri"/>
      <family val="2"/>
    </font>
    <font>
      <b/>
      <i/>
      <sz val="16"/>
      <name val="Helv"/>
    </font>
    <font>
      <sz val="11"/>
      <name val="Arial"/>
      <family val="2"/>
    </font>
    <font>
      <b/>
      <sz val="11"/>
      <color indexed="63"/>
      <name val="Calibri"/>
      <family val="2"/>
    </font>
    <font>
      <sz val="10"/>
      <color indexed="8"/>
      <name val="Arial"/>
      <family val="2"/>
    </font>
    <font>
      <b/>
      <sz val="12"/>
      <name val="Avant Garde"/>
    </font>
    <font>
      <sz val="12"/>
      <name val="Helv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9"/>
      <name val="Arial"/>
      <family val="2"/>
    </font>
    <font>
      <b/>
      <sz val="14"/>
      <name val="Arial"/>
      <family val="2"/>
    </font>
    <font>
      <b/>
      <sz val="7"/>
      <color indexed="14"/>
      <name val="Helv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color indexed="17"/>
      <name val="Arial"/>
      <family val="2"/>
    </font>
    <font>
      <sz val="11"/>
      <color indexed="10"/>
      <name val="Calibri"/>
      <family val="2"/>
    </font>
    <font>
      <sz val="12"/>
      <color indexed="9"/>
      <name val="Palatino"/>
    </font>
    <font>
      <sz val="12"/>
      <color indexed="9"/>
      <name val="Palatino"/>
      <family val="1"/>
    </font>
    <font>
      <sz val="8"/>
      <color theme="1"/>
      <name val="Tahoma"/>
      <family val="2"/>
    </font>
    <font>
      <b/>
      <sz val="20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8"/>
      <color indexed="8"/>
      <name val="Arial"/>
      <family val="2"/>
    </font>
    <font>
      <sz val="9"/>
      <name val="Helvetica-Narrow"/>
      <family val="2"/>
    </font>
    <font>
      <b/>
      <sz val="8"/>
      <color indexed="10"/>
      <name val="Arial"/>
      <family val="2"/>
    </font>
    <font>
      <sz val="8"/>
      <color indexed="12"/>
      <name val="Arial"/>
      <family val="2"/>
    </font>
    <font>
      <sz val="8"/>
      <color indexed="14"/>
      <name val="Arial"/>
      <family val="2"/>
    </font>
    <font>
      <b/>
      <sz val="10"/>
      <color indexed="8"/>
      <name val="Helv"/>
    </font>
    <font>
      <sz val="10"/>
      <color indexed="8"/>
      <name val="Helv"/>
    </font>
    <font>
      <b/>
      <sz val="12"/>
      <color indexed="8"/>
      <name val="Helv"/>
    </font>
    <font>
      <b/>
      <sz val="14"/>
      <color indexed="8"/>
      <name val="Helv"/>
    </font>
    <font>
      <sz val="9"/>
      <color rgb="FF1E1E1E"/>
      <name val="Verdana"/>
      <family val="2"/>
    </font>
    <font>
      <b/>
      <sz val="11"/>
      <color rgb="FFFFFFFF"/>
      <name val="Georgia"/>
      <family val="1"/>
    </font>
  </fonts>
  <fills count="6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57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ck">
        <color theme="0" tint="-0.14999847407452621"/>
      </right>
      <top style="thick">
        <color theme="0" tint="-0.14999847407452621"/>
      </top>
      <bottom/>
      <diagonal/>
    </border>
    <border>
      <left style="thick">
        <color theme="0" tint="-0.14999847407452621"/>
      </left>
      <right/>
      <top/>
      <bottom style="thick">
        <color theme="0" tint="-0.14999847407452621"/>
      </bottom>
      <diagonal/>
    </border>
    <border>
      <left/>
      <right style="thick">
        <color theme="0" tint="-0.14999847407452621"/>
      </right>
      <top/>
      <bottom style="thick">
        <color theme="0" tint="-0.14999847407452621"/>
      </bottom>
      <diagonal/>
    </border>
    <border>
      <left style="thick">
        <color theme="0" tint="-0.14999847407452621"/>
      </left>
      <right style="thick">
        <color theme="0" tint="-0.14999847407452621"/>
      </right>
      <top style="thick">
        <color theme="0" tint="-0.14999847407452621"/>
      </top>
      <bottom/>
      <diagonal/>
    </border>
    <border>
      <left/>
      <right/>
      <top/>
      <bottom style="thick">
        <color theme="0" tint="-0.14999847407452621"/>
      </bottom>
      <diagonal/>
    </border>
    <border>
      <left style="thick">
        <color theme="0" tint="-0.14999847407452621"/>
      </left>
      <right style="thick">
        <color theme="0" tint="-0.14999847407452621"/>
      </right>
      <top/>
      <bottom style="thick">
        <color theme="0" tint="-0.14999847407452621"/>
      </bottom>
      <diagonal/>
    </border>
    <border>
      <left/>
      <right style="thick">
        <color theme="0" tint="-0.14999847407452621"/>
      </right>
      <top/>
      <bottom/>
      <diagonal/>
    </border>
    <border>
      <left style="thick">
        <color theme="0" tint="-0.14999847407452621"/>
      </left>
      <right style="thick">
        <color theme="0" tint="-0.14999847407452621"/>
      </right>
      <top style="thick">
        <color theme="0" tint="-0.14999847407452621"/>
      </top>
      <bottom style="thick">
        <color theme="0" tint="-0.14999847407452621"/>
      </bottom>
      <diagonal/>
    </border>
    <border>
      <left style="thick">
        <color theme="0" tint="-0.1499984740745262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ck">
        <color theme="0" tint="-0.249977111117893"/>
      </left>
      <right style="thick">
        <color theme="0" tint="-0.249977111117893"/>
      </right>
      <top style="thick">
        <color theme="0" tint="-0.249977111117893"/>
      </top>
      <bottom style="thick">
        <color theme="0" tint="-0.249977111117893"/>
      </bottom>
      <diagonal/>
    </border>
    <border>
      <left/>
      <right style="thick">
        <color theme="0" tint="-0.249977111117893"/>
      </right>
      <top style="thick">
        <color theme="0" tint="-0.249977111117893"/>
      </top>
      <bottom style="thick">
        <color theme="0" tint="-0.249977111117893"/>
      </bottom>
      <diagonal/>
    </border>
    <border>
      <left style="thick">
        <color theme="0" tint="-0.249977111117893"/>
      </left>
      <right/>
      <top/>
      <bottom style="thick">
        <color theme="0" tint="-0.249977111117893"/>
      </bottom>
      <diagonal/>
    </border>
    <border>
      <left/>
      <right style="thick">
        <color theme="0" tint="-0.249977111117893"/>
      </right>
      <top/>
      <bottom style="thick">
        <color theme="0" tint="-0.249977111117893"/>
      </bottom>
      <diagonal/>
    </border>
    <border>
      <left style="thick">
        <color theme="0" tint="-0.249977111117893"/>
      </left>
      <right style="thick">
        <color theme="0" tint="-0.249977111117893"/>
      </right>
      <top/>
      <bottom/>
      <diagonal/>
    </border>
    <border>
      <left style="thick">
        <color theme="0" tint="-0.249977111117893"/>
      </left>
      <right style="thick">
        <color theme="0" tint="-0.249977111117893"/>
      </right>
      <top style="thick">
        <color theme="0" tint="-0.249977111117893"/>
      </top>
      <bottom/>
      <diagonal/>
    </border>
    <border>
      <left/>
      <right style="thick">
        <color theme="0" tint="-0.249977111117893"/>
      </right>
      <top style="thick">
        <color theme="0" tint="-0.249977111117893"/>
      </top>
      <bottom/>
      <diagonal/>
    </border>
    <border>
      <left style="thick">
        <color theme="0" tint="-0.249977111117893"/>
      </left>
      <right style="thick">
        <color theme="0" tint="-0.249977111117893"/>
      </right>
      <top/>
      <bottom style="thick">
        <color theme="0" tint="-0.249977111117893"/>
      </bottom>
      <diagonal/>
    </border>
    <border>
      <left/>
      <right style="thick">
        <color theme="0" tint="-0.249977111117893"/>
      </right>
      <top/>
      <bottom/>
      <diagonal/>
    </border>
    <border>
      <left/>
      <right/>
      <top/>
      <bottom style="thick">
        <color theme="0" tint="-0.24997711111789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175"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164" fontId="8" fillId="0" borderId="0"/>
    <xf numFmtId="165" fontId="5" fillId="0" borderId="0"/>
    <xf numFmtId="165" fontId="5" fillId="0" borderId="0"/>
    <xf numFmtId="164" fontId="8" fillId="0" borderId="0"/>
    <xf numFmtId="164" fontId="8" fillId="0" borderId="0"/>
    <xf numFmtId="0" fontId="9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166" fontId="10" fillId="0" borderId="0"/>
    <xf numFmtId="167" fontId="5" fillId="0" borderId="0"/>
    <xf numFmtId="167" fontId="5" fillId="0" borderId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2" fillId="23" borderId="3" applyNumberFormat="0" applyAlignment="0" applyProtection="0"/>
    <xf numFmtId="0" fontId="12" fillId="23" borderId="3" applyNumberFormat="0" applyAlignment="0" applyProtection="0"/>
    <xf numFmtId="0" fontId="13" fillId="0" borderId="0"/>
    <xf numFmtId="38" fontId="14" fillId="0" borderId="0" applyFill="0" applyBorder="0" applyAlignment="0" applyProtection="0"/>
    <xf numFmtId="168" fontId="5" fillId="0" borderId="0" applyFont="0" applyFill="0" applyBorder="0" applyProtection="0">
      <protection locked="0"/>
    </xf>
    <xf numFmtId="168" fontId="5" fillId="0" borderId="0" applyFont="0" applyFill="0" applyBorder="0" applyProtection="0">
      <protection locked="0"/>
    </xf>
    <xf numFmtId="168" fontId="5" fillId="0" borderId="0" applyFont="0" applyFill="0" applyBorder="0" applyProtection="0">
      <protection locked="0"/>
    </xf>
    <xf numFmtId="40" fontId="15" fillId="0" borderId="0" applyFill="0" applyBorder="0" applyAlignment="0" applyProtection="0"/>
    <xf numFmtId="169" fontId="16" fillId="0" borderId="0" applyBorder="0" applyAlignment="0"/>
    <xf numFmtId="169" fontId="17" fillId="0" borderId="0" applyBorder="0" applyAlignment="0"/>
    <xf numFmtId="170" fontId="16" fillId="0" borderId="0"/>
    <xf numFmtId="170" fontId="17" fillId="0" borderId="0"/>
    <xf numFmtId="171" fontId="16" fillId="0" borderId="0"/>
    <xf numFmtId="171" fontId="17" fillId="0" borderId="0"/>
    <xf numFmtId="17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18" fillId="0" borderId="0" applyFont="0" applyFill="0" applyBorder="0" applyAlignment="0" applyProtection="0"/>
    <xf numFmtId="17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4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6" fontId="16" fillId="0" borderId="0">
      <alignment horizontal="center"/>
    </xf>
    <xf numFmtId="176" fontId="17" fillId="0" borderId="0">
      <alignment horizontal="center"/>
    </xf>
    <xf numFmtId="177" fontId="16" fillId="0" borderId="0">
      <alignment horizontal="center"/>
    </xf>
    <xf numFmtId="177" fontId="17" fillId="0" borderId="0">
      <alignment horizontal="center"/>
    </xf>
    <xf numFmtId="170" fontId="16" fillId="0" borderId="0"/>
    <xf numFmtId="170" fontId="17" fillId="0" borderId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0" fontId="18" fillId="0" borderId="4">
      <alignment horizontal="center"/>
    </xf>
    <xf numFmtId="0" fontId="13" fillId="0" borderId="0"/>
    <xf numFmtId="0" fontId="13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9" fontId="15" fillId="0" borderId="0" applyFill="0" applyBorder="0" applyAlignment="0" applyProtection="0">
      <alignment horizontal="left"/>
    </xf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1" fontId="16" fillId="0" borderId="0"/>
    <xf numFmtId="181" fontId="17" fillId="0" borderId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2" fontId="19" fillId="0" borderId="0" applyFont="0" applyFill="0" applyBorder="0" applyAlignment="0" applyProtection="0"/>
    <xf numFmtId="2" fontId="19" fillId="0" borderId="0" applyFont="0" applyFill="0" applyBorder="0" applyAlignment="0" applyProtection="0"/>
    <xf numFmtId="2" fontId="19" fillId="0" borderId="0" applyFont="0" applyFill="0" applyBorder="0" applyAlignment="0" applyProtection="0"/>
    <xf numFmtId="37" fontId="21" fillId="0" borderId="0" applyFill="0" applyBorder="0" applyAlignment="0"/>
    <xf numFmtId="37" fontId="22" fillId="0" borderId="0" applyFill="0" applyBorder="0" applyAlignment="0"/>
    <xf numFmtId="183" fontId="21" fillId="0" borderId="0" applyFill="0" applyBorder="0" applyAlignment="0"/>
    <xf numFmtId="183" fontId="22" fillId="0" borderId="0" applyFill="0" applyBorder="0" applyAlignment="0"/>
    <xf numFmtId="0" fontId="23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38" fontId="24" fillId="24" borderId="0" applyNumberFormat="0" applyBorder="0" applyAlignment="0" applyProtection="0"/>
    <xf numFmtId="38" fontId="24" fillId="24" borderId="0" applyNumberFormat="0" applyBorder="0" applyAlignment="0" applyProtection="0"/>
    <xf numFmtId="38" fontId="24" fillId="24" borderId="0" applyNumberFormat="0" applyBorder="0" applyAlignment="0" applyProtection="0"/>
    <xf numFmtId="0" fontId="25" fillId="0" borderId="0" applyNumberFormat="0" applyFill="0" applyBorder="0" applyAlignment="0" applyProtection="0"/>
    <xf numFmtId="0" fontId="26" fillId="0" borderId="5" applyNumberFormat="0" applyFill="0" applyAlignment="0" applyProtection="0"/>
    <xf numFmtId="0" fontId="25" fillId="0" borderId="0" applyNumberFormat="0" applyFill="0" applyBorder="0" applyAlignment="0" applyProtection="0"/>
    <xf numFmtId="0" fontId="26" fillId="0" borderId="5" applyNumberFormat="0" applyFill="0" applyAlignment="0" applyProtection="0"/>
    <xf numFmtId="0" fontId="27" fillId="0" borderId="0" applyNumberFormat="0" applyFill="0" applyBorder="0" applyAlignment="0" applyProtection="0"/>
    <xf numFmtId="0" fontId="28" fillId="0" borderId="6" applyNumberFormat="0" applyFill="0" applyAlignment="0" applyProtection="0"/>
    <xf numFmtId="0" fontId="27" fillId="0" borderId="0" applyNumberFormat="0" applyFill="0" applyBorder="0" applyAlignment="0" applyProtection="0"/>
    <xf numFmtId="0" fontId="28" fillId="0" borderId="6" applyNumberFormat="0" applyFill="0" applyAlignment="0" applyProtection="0"/>
    <xf numFmtId="0" fontId="29" fillId="0" borderId="7" applyNumberFormat="0" applyFill="0" applyAlignment="0" applyProtection="0"/>
    <xf numFmtId="0" fontId="29" fillId="0" borderId="7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10" fontId="24" fillId="24" borderId="8" applyNumberFormat="0" applyBorder="0" applyAlignment="0" applyProtection="0"/>
    <xf numFmtId="10" fontId="24" fillId="24" borderId="8" applyNumberFormat="0" applyBorder="0" applyAlignment="0" applyProtection="0"/>
    <xf numFmtId="10" fontId="24" fillId="24" borderId="8" applyNumberFormat="0" applyBorder="0" applyAlignment="0" applyProtection="0"/>
    <xf numFmtId="0" fontId="31" fillId="9" borderId="2" applyNumberFormat="0" applyAlignment="0" applyProtection="0"/>
    <xf numFmtId="0" fontId="31" fillId="9" borderId="2" applyNumberFormat="0" applyAlignment="0" applyProtection="0"/>
    <xf numFmtId="0" fontId="31" fillId="9" borderId="2" applyNumberFormat="0" applyAlignment="0" applyProtection="0"/>
    <xf numFmtId="0" fontId="31" fillId="9" borderId="2" applyNumberFormat="0" applyAlignment="0" applyProtection="0"/>
    <xf numFmtId="0" fontId="31" fillId="9" borderId="2" applyNumberFormat="0" applyAlignment="0" applyProtection="0"/>
    <xf numFmtId="0" fontId="31" fillId="9" borderId="2" applyNumberFormat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33" fillId="0" borderId="0"/>
    <xf numFmtId="0" fontId="33" fillId="0" borderId="0"/>
    <xf numFmtId="0" fontId="33" fillId="0" borderId="0"/>
    <xf numFmtId="38" fontId="34" fillId="0" borderId="0"/>
    <xf numFmtId="184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86" fontId="16" fillId="0" borderId="0">
      <alignment horizontal="left"/>
    </xf>
    <xf numFmtId="186" fontId="17" fillId="0" borderId="0">
      <alignment horizontal="left"/>
    </xf>
    <xf numFmtId="0" fontId="35" fillId="25" borderId="0" applyNumberFormat="0" applyBorder="0" applyAlignment="0" applyProtection="0"/>
    <xf numFmtId="0" fontId="35" fillId="25" borderId="0" applyNumberFormat="0" applyBorder="0" applyAlignment="0" applyProtection="0"/>
    <xf numFmtId="187" fontId="36" fillId="0" borderId="0"/>
    <xf numFmtId="0" fontId="13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7" fillId="26" borderId="10" applyNumberFormat="0" applyFont="0" applyAlignment="0" applyProtection="0"/>
    <xf numFmtId="0" fontId="37" fillId="26" borderId="10" applyNumberFormat="0" applyFont="0" applyAlignment="0" applyProtection="0"/>
    <xf numFmtId="0" fontId="37" fillId="26" borderId="10" applyNumberFormat="0" applyFont="0" applyAlignment="0" applyProtection="0"/>
    <xf numFmtId="0" fontId="37" fillId="26" borderId="10" applyNumberFormat="0" applyFont="0" applyAlignment="0" applyProtection="0"/>
    <xf numFmtId="0" fontId="37" fillId="26" borderId="10" applyNumberFormat="0" applyFont="0" applyAlignment="0" applyProtection="0"/>
    <xf numFmtId="0" fontId="37" fillId="26" borderId="10" applyNumberFormat="0" applyFont="0" applyAlignment="0" applyProtection="0"/>
    <xf numFmtId="0" fontId="37" fillId="26" borderId="10" applyNumberFormat="0" applyFont="0" applyAlignment="0" applyProtection="0"/>
    <xf numFmtId="0" fontId="37" fillId="26" borderId="10" applyNumberFormat="0" applyFont="0" applyAlignment="0" applyProtection="0"/>
    <xf numFmtId="0" fontId="37" fillId="26" borderId="10" applyNumberFormat="0" applyFont="0" applyAlignment="0" applyProtection="0"/>
    <xf numFmtId="0" fontId="5" fillId="26" borderId="10" applyNumberFormat="0" applyFont="0" applyAlignment="0" applyProtection="0"/>
    <xf numFmtId="0" fontId="5" fillId="26" borderId="10" applyNumberFormat="0" applyFont="0" applyAlignment="0" applyProtection="0"/>
    <xf numFmtId="0" fontId="38" fillId="22" borderId="11" applyNumberFormat="0" applyAlignment="0" applyProtection="0"/>
    <xf numFmtId="0" fontId="38" fillId="22" borderId="11" applyNumberFormat="0" applyAlignment="0" applyProtection="0"/>
    <xf numFmtId="0" fontId="38" fillId="22" borderId="11" applyNumberFormat="0" applyAlignment="0" applyProtection="0"/>
    <xf numFmtId="0" fontId="38" fillId="22" borderId="11" applyNumberFormat="0" applyAlignment="0" applyProtection="0"/>
    <xf numFmtId="10" fontId="16" fillId="0" borderId="0" applyFont="0" applyFill="0" applyBorder="0" applyAlignment="0" applyProtection="0"/>
    <xf numFmtId="10" fontId="17" fillId="0" borderId="0" applyFont="0" applyFill="0" applyBorder="0" applyAlignment="0" applyProtection="0"/>
    <xf numFmtId="188" fontId="16" fillId="0" borderId="0" applyFont="0" applyFill="0" applyBorder="0" applyAlignment="0" applyProtection="0"/>
    <xf numFmtId="188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89" fontId="5" fillId="0" borderId="0"/>
    <xf numFmtId="189" fontId="5" fillId="0" borderId="0"/>
    <xf numFmtId="189" fontId="5" fillId="0" borderId="0"/>
    <xf numFmtId="4" fontId="39" fillId="5" borderId="12" applyNumberFormat="0" applyProtection="0">
      <alignment horizontal="right" vertical="center"/>
    </xf>
    <xf numFmtId="4" fontId="39" fillId="5" borderId="12" applyNumberFormat="0" applyProtection="0">
      <alignment horizontal="right" vertical="center"/>
    </xf>
    <xf numFmtId="38" fontId="40" fillId="0" borderId="0"/>
    <xf numFmtId="0" fontId="41" fillId="0" borderId="13"/>
    <xf numFmtId="0" fontId="41" fillId="0" borderId="13"/>
    <xf numFmtId="0" fontId="41" fillId="0" borderId="13"/>
    <xf numFmtId="0" fontId="41" fillId="0" borderId="13"/>
    <xf numFmtId="0" fontId="41" fillId="0" borderId="13"/>
    <xf numFmtId="0" fontId="41" fillId="0" borderId="13"/>
    <xf numFmtId="0" fontId="41" fillId="0" borderId="13"/>
    <xf numFmtId="0" fontId="41" fillId="0" borderId="13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4" fillId="0" borderId="0" applyNumberFormat="0" applyFill="0" applyBorder="0" applyProtection="0">
      <alignment horizontal="left" vertical="top" wrapText="1"/>
    </xf>
    <xf numFmtId="0" fontId="24" fillId="0" borderId="0" applyNumberFormat="0" applyFill="0" applyBorder="0" applyProtection="0">
      <alignment horizontal="left" vertical="top" wrapText="1"/>
    </xf>
    <xf numFmtId="0" fontId="42" fillId="0" borderId="0" applyNumberFormat="0" applyFill="0" applyBorder="0" applyProtection="0">
      <alignment horizontal="left" vertical="top" wrapText="1"/>
    </xf>
    <xf numFmtId="0" fontId="42" fillId="0" borderId="0" applyNumberFormat="0" applyFill="0" applyBorder="0" applyProtection="0">
      <alignment horizontal="left" wrapText="1"/>
    </xf>
    <xf numFmtId="0" fontId="42" fillId="0" borderId="0" applyNumberFormat="0" applyFill="0" applyBorder="0" applyProtection="0">
      <alignment horizontal="left" wrapText="1"/>
    </xf>
    <xf numFmtId="0" fontId="42" fillId="0" borderId="0" applyNumberFormat="0" applyFill="0" applyBorder="0" applyProtection="0">
      <alignment horizontal="left" wrapText="1"/>
    </xf>
    <xf numFmtId="0" fontId="42" fillId="0" borderId="0" applyNumberFormat="0" applyFill="0" applyBorder="0" applyProtection="0">
      <alignment horizontal="left" wrapText="1"/>
    </xf>
    <xf numFmtId="0" fontId="42" fillId="0" borderId="0" applyNumberFormat="0" applyFill="0" applyBorder="0" applyProtection="0">
      <alignment horizontal="right" wrapText="1"/>
    </xf>
    <xf numFmtId="0" fontId="42" fillId="0" borderId="0" applyNumberFormat="0" applyFill="0" applyBorder="0" applyProtection="0">
      <alignment horizontal="right" wrapText="1"/>
    </xf>
    <xf numFmtId="0" fontId="43" fillId="0" borderId="0" applyNumberFormat="0" applyFill="0" applyBorder="0" applyProtection="0">
      <alignment horizontal="left" vertical="top" wrapText="1"/>
    </xf>
    <xf numFmtId="0" fontId="44" fillId="27" borderId="0" applyNumberFormat="0" applyBorder="0" applyProtection="0">
      <alignment horizontal="left" wrapText="1"/>
    </xf>
    <xf numFmtId="0" fontId="44" fillId="27" borderId="0" applyNumberFormat="0" applyBorder="0" applyProtection="0">
      <alignment horizontal="left" wrapText="1"/>
    </xf>
    <xf numFmtId="172" fontId="24" fillId="0" borderId="0" applyFill="0" applyBorder="0" applyProtection="0">
      <alignment horizontal="right" wrapText="1"/>
    </xf>
    <xf numFmtId="190" fontId="24" fillId="0" borderId="0" applyFill="0" applyBorder="0" applyProtection="0">
      <alignment horizontal="right" wrapText="1"/>
    </xf>
    <xf numFmtId="190" fontId="24" fillId="0" borderId="0" applyFill="0" applyBorder="0" applyProtection="0">
      <alignment horizontal="right" wrapText="1"/>
    </xf>
    <xf numFmtId="190" fontId="24" fillId="0" borderId="0" applyFill="0" applyBorder="0" applyProtection="0">
      <alignment horizontal="right" wrapText="1"/>
    </xf>
    <xf numFmtId="178" fontId="24" fillId="0" borderId="0" applyFill="0" applyBorder="0" applyProtection="0">
      <alignment horizontal="right" wrapText="1"/>
    </xf>
    <xf numFmtId="178" fontId="24" fillId="0" borderId="0" applyFill="0" applyBorder="0" applyProtection="0">
      <alignment horizontal="right" wrapText="1"/>
    </xf>
    <xf numFmtId="190" fontId="24" fillId="0" borderId="0" applyFill="0" applyBorder="0" applyProtection="0">
      <alignment horizontal="right" wrapText="1"/>
    </xf>
    <xf numFmtId="178" fontId="24" fillId="0" borderId="0" applyFill="0" applyBorder="0" applyProtection="0">
      <alignment horizontal="right" wrapText="1"/>
    </xf>
    <xf numFmtId="190" fontId="24" fillId="0" borderId="0" applyFill="0" applyBorder="0" applyProtection="0">
      <alignment horizontal="right" wrapText="1"/>
    </xf>
    <xf numFmtId="172" fontId="24" fillId="0" borderId="0" applyFill="0" applyBorder="0" applyProtection="0">
      <alignment horizontal="right" wrapText="1"/>
    </xf>
    <xf numFmtId="190" fontId="24" fillId="0" borderId="0" applyFill="0" applyBorder="0" applyProtection="0">
      <alignment horizontal="right" wrapText="1"/>
    </xf>
    <xf numFmtId="190" fontId="24" fillId="0" borderId="0" applyFill="0" applyBorder="0" applyProtection="0">
      <alignment horizontal="right" wrapText="1"/>
    </xf>
    <xf numFmtId="190" fontId="24" fillId="0" borderId="0" applyFill="0" applyBorder="0" applyProtection="0">
      <alignment horizontal="right" wrapText="1"/>
    </xf>
    <xf numFmtId="178" fontId="24" fillId="0" borderId="0" applyFill="0" applyBorder="0" applyProtection="0">
      <alignment horizontal="right" wrapText="1"/>
    </xf>
    <xf numFmtId="190" fontId="24" fillId="0" borderId="0" applyFill="0" applyBorder="0" applyProtection="0">
      <alignment horizontal="right" wrapText="1"/>
    </xf>
    <xf numFmtId="190" fontId="24" fillId="0" borderId="0" applyFill="0" applyBorder="0" applyProtection="0">
      <alignment horizontal="right" wrapText="1"/>
    </xf>
    <xf numFmtId="191" fontId="42" fillId="0" borderId="0" applyFill="0" applyBorder="0" applyProtection="0">
      <alignment horizontal="right" wrapText="1"/>
    </xf>
    <xf numFmtId="0" fontId="42" fillId="0" borderId="0" applyFill="0" applyBorder="0" applyProtection="0">
      <alignment horizontal="right" wrapText="1"/>
    </xf>
    <xf numFmtId="190" fontId="43" fillId="0" borderId="0" applyFill="0" applyBorder="0" applyProtection="0">
      <alignment horizontal="right" wrapText="1"/>
    </xf>
    <xf numFmtId="190" fontId="43" fillId="0" borderId="0" applyFill="0" applyBorder="0" applyProtection="0">
      <alignment horizontal="right" wrapText="1"/>
    </xf>
    <xf numFmtId="190" fontId="43" fillId="0" borderId="0" applyFill="0" applyBorder="0" applyProtection="0">
      <alignment horizontal="right" wrapText="1"/>
    </xf>
    <xf numFmtId="178" fontId="43" fillId="0" borderId="0" applyFill="0" applyBorder="0" applyProtection="0">
      <alignment horizontal="right" wrapText="1"/>
    </xf>
    <xf numFmtId="178" fontId="43" fillId="0" borderId="0" applyFill="0" applyBorder="0" applyProtection="0">
      <alignment horizontal="right" wrapText="1"/>
    </xf>
    <xf numFmtId="172" fontId="43" fillId="0" borderId="0" applyFill="0" applyBorder="0" applyProtection="0">
      <alignment horizontal="right" wrapText="1"/>
    </xf>
    <xf numFmtId="190" fontId="43" fillId="0" borderId="0" applyFill="0" applyBorder="0" applyProtection="0">
      <alignment horizontal="right" wrapText="1"/>
    </xf>
    <xf numFmtId="190" fontId="43" fillId="0" borderId="0" applyFill="0" applyBorder="0" applyProtection="0">
      <alignment horizontal="right" wrapText="1"/>
    </xf>
    <xf numFmtId="190" fontId="43" fillId="0" borderId="0" applyFill="0" applyBorder="0" applyProtection="0">
      <alignment horizontal="right" wrapText="1"/>
    </xf>
    <xf numFmtId="178" fontId="43" fillId="0" borderId="0" applyFill="0" applyBorder="0" applyProtection="0">
      <alignment horizontal="right" wrapText="1"/>
    </xf>
    <xf numFmtId="190" fontId="43" fillId="0" borderId="0" applyFill="0" applyBorder="0" applyProtection="0">
      <alignment horizontal="right" wrapText="1"/>
    </xf>
    <xf numFmtId="190" fontId="43" fillId="0" borderId="0" applyFill="0" applyBorder="0" applyProtection="0">
      <alignment horizontal="right" wrapText="1"/>
    </xf>
    <xf numFmtId="190" fontId="43" fillId="0" borderId="0" applyFill="0" applyBorder="0" applyProtection="0">
      <alignment horizontal="right" wrapText="1"/>
    </xf>
    <xf numFmtId="0" fontId="45" fillId="0" borderId="14" applyNumberFormat="0" applyFill="0" applyProtection="0">
      <alignment horizontal="left" vertical="top"/>
    </xf>
    <xf numFmtId="0" fontId="45" fillId="0" borderId="14" applyNumberFormat="0" applyFill="0" applyProtection="0">
      <alignment horizontal="left" vertical="top"/>
    </xf>
    <xf numFmtId="192" fontId="24" fillId="0" borderId="0" applyFill="0" applyBorder="0" applyProtection="0">
      <alignment horizontal="right" wrapText="1"/>
    </xf>
    <xf numFmtId="0" fontId="46" fillId="0" borderId="0"/>
    <xf numFmtId="193" fontId="5" fillId="0" borderId="13"/>
    <xf numFmtId="193" fontId="5" fillId="0" borderId="13"/>
    <xf numFmtId="193" fontId="5" fillId="0" borderId="13"/>
    <xf numFmtId="193" fontId="5" fillId="0" borderId="13"/>
    <xf numFmtId="18" fontId="16" fillId="0" borderId="0"/>
    <xf numFmtId="18" fontId="17" fillId="0" borderId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15" applyNumberFormat="0" applyFont="0" applyFill="0" applyAlignment="0" applyProtection="0"/>
    <xf numFmtId="0" fontId="48" fillId="0" borderId="16" applyNumberFormat="0" applyFill="0" applyAlignment="0" applyProtection="0"/>
    <xf numFmtId="0" fontId="19" fillId="0" borderId="15" applyNumberFormat="0" applyFont="0" applyFill="0" applyAlignment="0" applyProtection="0"/>
    <xf numFmtId="0" fontId="48" fillId="0" borderId="16" applyNumberFormat="0" applyFill="0" applyAlignment="0" applyProtection="0"/>
    <xf numFmtId="194" fontId="5" fillId="0" borderId="0" applyNumberFormat="0" applyFill="0" applyBorder="0" applyAlignment="0">
      <alignment horizontal="center"/>
      <protection locked="0"/>
    </xf>
    <xf numFmtId="195" fontId="49" fillId="0" borderId="0" applyNumberFormat="0" applyFill="0" applyBorder="0" applyAlignment="0">
      <alignment horizontal="center"/>
      <protection locked="0"/>
    </xf>
    <xf numFmtId="194" fontId="5" fillId="0" borderId="0" applyNumberFormat="0" applyFill="0" applyBorder="0" applyAlignment="0">
      <alignment horizontal="center"/>
      <protection locked="0"/>
    </xf>
    <xf numFmtId="194" fontId="5" fillId="0" borderId="0" applyNumberFormat="0" applyFill="0" applyBorder="0" applyAlignment="0">
      <alignment horizontal="center"/>
      <protection locked="0"/>
    </xf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15" fontId="51" fillId="0" borderId="0" applyNumberFormat="0" applyFill="0" applyBorder="0" applyAlignment="0" applyProtection="0">
      <alignment horizontal="center"/>
    </xf>
    <xf numFmtId="15" fontId="52" fillId="0" borderId="0" applyNumberFormat="0" applyFill="0" applyBorder="0" applyAlignment="0" applyProtection="0">
      <alignment horizontal="center"/>
    </xf>
    <xf numFmtId="196" fontId="40" fillId="0" borderId="0">
      <alignment horizontal="center"/>
    </xf>
    <xf numFmtId="0" fontId="1" fillId="0" borderId="0"/>
    <xf numFmtId="9" fontId="5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3" fillId="0" borderId="0"/>
    <xf numFmtId="0" fontId="1" fillId="0" borderId="0"/>
    <xf numFmtId="9" fontId="1" fillId="0" borderId="0" applyFont="0" applyFill="0" applyBorder="0" applyAlignment="0" applyProtection="0"/>
    <xf numFmtId="0" fontId="53" fillId="0" borderId="0"/>
    <xf numFmtId="9" fontId="53" fillId="0" borderId="0" applyFont="0" applyFill="0" applyBorder="0" applyAlignment="0" applyProtection="0"/>
    <xf numFmtId="0" fontId="53" fillId="0" borderId="0"/>
    <xf numFmtId="0" fontId="53" fillId="0" borderId="0"/>
    <xf numFmtId="0" fontId="53" fillId="0" borderId="0"/>
    <xf numFmtId="9" fontId="53" fillId="0" borderId="0" applyFont="0" applyFill="0" applyBorder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0" fontId="24" fillId="24" borderId="8" applyNumberFormat="0" applyBorder="0" applyAlignment="0" applyProtection="0"/>
    <xf numFmtId="10" fontId="24" fillId="24" borderId="8" applyNumberFormat="0" applyBorder="0" applyAlignment="0" applyProtection="0"/>
    <xf numFmtId="10" fontId="24" fillId="24" borderId="8" applyNumberFormat="0" applyBorder="0" applyAlignment="0" applyProtection="0"/>
    <xf numFmtId="10" fontId="24" fillId="24" borderId="8" applyNumberFormat="0" applyBorder="0" applyAlignment="0" applyProtection="0"/>
    <xf numFmtId="10" fontId="24" fillId="24" borderId="8" applyNumberFormat="0" applyBorder="0" applyAlignment="0" applyProtection="0"/>
    <xf numFmtId="10" fontId="24" fillId="24" borderId="8" applyNumberFormat="0" applyBorder="0" applyAlignment="0" applyProtection="0"/>
    <xf numFmtId="10" fontId="24" fillId="24" borderId="8" applyNumberFormat="0" applyBorder="0" applyAlignment="0" applyProtection="0"/>
    <xf numFmtId="10" fontId="24" fillId="24" borderId="8" applyNumberFormat="0" applyBorder="0" applyAlignment="0" applyProtection="0"/>
    <xf numFmtId="10" fontId="24" fillId="24" borderId="8" applyNumberFormat="0" applyBorder="0" applyAlignment="0" applyProtection="0"/>
    <xf numFmtId="0" fontId="31" fillId="9" borderId="2" applyNumberFormat="0" applyAlignment="0" applyProtection="0"/>
    <xf numFmtId="0" fontId="31" fillId="9" borderId="2" applyNumberFormat="0" applyAlignment="0" applyProtection="0"/>
    <xf numFmtId="0" fontId="31" fillId="9" borderId="2" applyNumberFormat="0" applyAlignment="0" applyProtection="0"/>
    <xf numFmtId="0" fontId="31" fillId="9" borderId="2" applyNumberFormat="0" applyAlignment="0" applyProtection="0"/>
    <xf numFmtId="0" fontId="31" fillId="9" borderId="2" applyNumberFormat="0" applyAlignment="0" applyProtection="0"/>
    <xf numFmtId="0" fontId="31" fillId="9" borderId="2" applyNumberFormat="0" applyAlignment="0" applyProtection="0"/>
    <xf numFmtId="0" fontId="31" fillId="9" borderId="2" applyNumberFormat="0" applyAlignment="0" applyProtection="0"/>
    <xf numFmtId="0" fontId="31" fillId="9" borderId="2" applyNumberFormat="0" applyAlignment="0" applyProtection="0"/>
    <xf numFmtId="0" fontId="31" fillId="9" borderId="2" applyNumberFormat="0" applyAlignment="0" applyProtection="0"/>
    <xf numFmtId="0" fontId="31" fillId="9" borderId="2" applyNumberFormat="0" applyAlignment="0" applyProtection="0"/>
    <xf numFmtId="0" fontId="31" fillId="9" borderId="2" applyNumberFormat="0" applyAlignment="0" applyProtection="0"/>
    <xf numFmtId="0" fontId="31" fillId="9" borderId="2" applyNumberFormat="0" applyAlignment="0" applyProtection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26" borderId="10" applyNumberFormat="0" applyFont="0" applyAlignment="0" applyProtection="0"/>
    <xf numFmtId="0" fontId="37" fillId="26" borderId="10" applyNumberFormat="0" applyFont="0" applyAlignment="0" applyProtection="0"/>
    <xf numFmtId="0" fontId="37" fillId="26" borderId="10" applyNumberFormat="0" applyFont="0" applyAlignment="0" applyProtection="0"/>
    <xf numFmtId="0" fontId="37" fillId="26" borderId="10" applyNumberFormat="0" applyFont="0" applyAlignment="0" applyProtection="0"/>
    <xf numFmtId="0" fontId="37" fillId="26" borderId="10" applyNumberFormat="0" applyFont="0" applyAlignment="0" applyProtection="0"/>
    <xf numFmtId="0" fontId="37" fillId="26" borderId="10" applyNumberFormat="0" applyFont="0" applyAlignment="0" applyProtection="0"/>
    <xf numFmtId="0" fontId="37" fillId="26" borderId="10" applyNumberFormat="0" applyFont="0" applyAlignment="0" applyProtection="0"/>
    <xf numFmtId="0" fontId="37" fillId="26" borderId="10" applyNumberFormat="0" applyFont="0" applyAlignment="0" applyProtection="0"/>
    <xf numFmtId="0" fontId="37" fillId="26" borderId="10" applyNumberFormat="0" applyFont="0" applyAlignment="0" applyProtection="0"/>
    <xf numFmtId="0" fontId="37" fillId="26" borderId="10" applyNumberFormat="0" applyFont="0" applyAlignment="0" applyProtection="0"/>
    <xf numFmtId="0" fontId="37" fillId="26" borderId="10" applyNumberFormat="0" applyFont="0" applyAlignment="0" applyProtection="0"/>
    <xf numFmtId="0" fontId="37" fillId="26" borderId="10" applyNumberFormat="0" applyFont="0" applyAlignment="0" applyProtection="0"/>
    <xf numFmtId="0" fontId="37" fillId="26" borderId="10" applyNumberFormat="0" applyFont="0" applyAlignment="0" applyProtection="0"/>
    <xf numFmtId="0" fontId="37" fillId="26" borderId="10" applyNumberFormat="0" applyFont="0" applyAlignment="0" applyProtection="0"/>
    <xf numFmtId="0" fontId="37" fillId="26" borderId="10" applyNumberFormat="0" applyFont="0" applyAlignment="0" applyProtection="0"/>
    <xf numFmtId="0" fontId="37" fillId="26" borderId="10" applyNumberFormat="0" applyFont="0" applyAlignment="0" applyProtection="0"/>
    <xf numFmtId="0" fontId="5" fillId="26" borderId="10" applyNumberFormat="0" applyFont="0" applyAlignment="0" applyProtection="0"/>
    <xf numFmtId="0" fontId="5" fillId="26" borderId="10" applyNumberFormat="0" applyFont="0" applyAlignment="0" applyProtection="0"/>
    <xf numFmtId="0" fontId="37" fillId="26" borderId="10" applyNumberFormat="0" applyFont="0" applyAlignment="0" applyProtection="0"/>
    <xf numFmtId="0" fontId="37" fillId="26" borderId="10" applyNumberFormat="0" applyFont="0" applyAlignment="0" applyProtection="0"/>
    <xf numFmtId="0" fontId="5" fillId="26" borderId="10" applyNumberFormat="0" applyFont="0" applyAlignment="0" applyProtection="0"/>
    <xf numFmtId="0" fontId="5" fillId="26" borderId="10" applyNumberFormat="0" applyFont="0" applyAlignment="0" applyProtection="0"/>
    <xf numFmtId="0" fontId="38" fillId="22" borderId="11" applyNumberFormat="0" applyAlignment="0" applyProtection="0"/>
    <xf numFmtId="0" fontId="38" fillId="22" borderId="11" applyNumberFormat="0" applyAlignment="0" applyProtection="0"/>
    <xf numFmtId="0" fontId="38" fillId="22" borderId="11" applyNumberFormat="0" applyAlignment="0" applyProtection="0"/>
    <xf numFmtId="0" fontId="38" fillId="22" borderId="11" applyNumberFormat="0" applyAlignment="0" applyProtection="0"/>
    <xf numFmtId="0" fontId="38" fillId="22" borderId="11" applyNumberFormat="0" applyAlignment="0" applyProtection="0"/>
    <xf numFmtId="0" fontId="38" fillId="22" borderId="11" applyNumberFormat="0" applyAlignment="0" applyProtection="0"/>
    <xf numFmtId="0" fontId="38" fillId="22" borderId="11" applyNumberFormat="0" applyAlignment="0" applyProtection="0"/>
    <xf numFmtId="0" fontId="38" fillId="22" borderId="11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1" fillId="0" borderId="0" applyFont="0" applyFill="0" applyBorder="0" applyAlignment="0" applyProtection="0"/>
    <xf numFmtId="4" fontId="39" fillId="5" borderId="12" applyNumberFormat="0" applyProtection="0">
      <alignment horizontal="right" vertical="center"/>
    </xf>
    <xf numFmtId="4" fontId="39" fillId="5" borderId="12" applyNumberFormat="0" applyProtection="0">
      <alignment horizontal="right" vertical="center"/>
    </xf>
    <xf numFmtId="4" fontId="39" fillId="5" borderId="12" applyNumberFormat="0" applyProtection="0">
      <alignment horizontal="right" vertical="center"/>
    </xf>
    <xf numFmtId="4" fontId="39" fillId="5" borderId="12" applyNumberFormat="0" applyProtection="0">
      <alignment horizontal="right" vertical="center"/>
    </xf>
    <xf numFmtId="0" fontId="41" fillId="0" borderId="13"/>
    <xf numFmtId="0" fontId="41" fillId="0" borderId="13"/>
    <xf numFmtId="0" fontId="41" fillId="0" borderId="13"/>
    <xf numFmtId="0" fontId="41" fillId="0" borderId="13"/>
    <xf numFmtId="0" fontId="41" fillId="0" borderId="13"/>
    <xf numFmtId="0" fontId="41" fillId="0" borderId="13"/>
    <xf numFmtId="0" fontId="41" fillId="0" borderId="13"/>
    <xf numFmtId="0" fontId="41" fillId="0" borderId="13"/>
    <xf numFmtId="0" fontId="41" fillId="0" borderId="13"/>
    <xf numFmtId="0" fontId="41" fillId="0" borderId="13"/>
    <xf numFmtId="0" fontId="41" fillId="0" borderId="13"/>
    <xf numFmtId="0" fontId="41" fillId="0" borderId="13"/>
    <xf numFmtId="0" fontId="41" fillId="0" borderId="13"/>
    <xf numFmtId="0" fontId="41" fillId="0" borderId="13"/>
    <xf numFmtId="0" fontId="41" fillId="0" borderId="13"/>
    <xf numFmtId="0" fontId="41" fillId="0" borderId="13"/>
    <xf numFmtId="193" fontId="5" fillId="0" borderId="13"/>
    <xf numFmtId="193" fontId="5" fillId="0" borderId="13"/>
    <xf numFmtId="193" fontId="5" fillId="0" borderId="13"/>
    <xf numFmtId="193" fontId="5" fillId="0" borderId="13"/>
    <xf numFmtId="193" fontId="5" fillId="0" borderId="13"/>
    <xf numFmtId="193" fontId="5" fillId="0" borderId="13"/>
    <xf numFmtId="193" fontId="5" fillId="0" borderId="13"/>
    <xf numFmtId="193" fontId="5" fillId="0" borderId="13"/>
    <xf numFmtId="0" fontId="48" fillId="0" borderId="16" applyNumberFormat="0" applyFill="0" applyAlignment="0" applyProtection="0"/>
    <xf numFmtId="0" fontId="48" fillId="0" borderId="16" applyNumberFormat="0" applyFill="0" applyAlignment="0" applyProtection="0"/>
    <xf numFmtId="0" fontId="48" fillId="0" borderId="16" applyNumberFormat="0" applyFill="0" applyAlignment="0" applyProtection="0"/>
    <xf numFmtId="0" fontId="48" fillId="0" borderId="16" applyNumberFormat="0" applyFill="0" applyAlignment="0" applyProtection="0"/>
    <xf numFmtId="0" fontId="53" fillId="0" borderId="0"/>
    <xf numFmtId="43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9" fillId="5" borderId="0" applyNumberFormat="0" applyBorder="0" applyAlignment="0" applyProtection="0"/>
    <xf numFmtId="39" fontId="68" fillId="0" borderId="39">
      <protection locked="0"/>
    </xf>
    <xf numFmtId="0" fontId="12" fillId="23" borderId="3" applyNumberFormat="0" applyAlignment="0" applyProtection="0"/>
    <xf numFmtId="43" fontId="5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0" fillId="0" borderId="40" applyNumberFormat="0" applyFill="0" applyBorder="0" applyAlignment="0" applyProtection="0">
      <alignment horizontal="left"/>
    </xf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3" fillId="6" borderId="0" applyNumberFormat="0" applyBorder="0" applyAlignment="0" applyProtection="0"/>
    <xf numFmtId="0" fontId="26" fillId="0" borderId="5" applyNumberFormat="0" applyFill="0" applyAlignment="0" applyProtection="0"/>
    <xf numFmtId="0" fontId="28" fillId="0" borderId="6" applyNumberFormat="0" applyFill="0" applyAlignment="0" applyProtection="0"/>
    <xf numFmtId="0" fontId="29" fillId="0" borderId="7" applyNumberFormat="0" applyFill="0" applyAlignment="0" applyProtection="0"/>
    <xf numFmtId="0" fontId="29" fillId="0" borderId="0" applyNumberFormat="0" applyFill="0" applyBorder="0" applyAlignment="0" applyProtection="0"/>
    <xf numFmtId="198" fontId="71" fillId="0" borderId="39" applyNumberFormat="0" applyFill="0" applyBorder="0" applyAlignment="0" applyProtection="0"/>
    <xf numFmtId="198" fontId="72" fillId="0" borderId="39" applyNumberFormat="0" applyFill="0" applyBorder="0" applyAlignment="0" applyProtection="0"/>
    <xf numFmtId="0" fontId="32" fillId="0" borderId="9" applyNumberFormat="0" applyFill="0" applyAlignment="0" applyProtection="0"/>
    <xf numFmtId="0" fontId="35" fillId="2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26" borderId="10" applyNumberFormat="0" applyFont="0" applyAlignment="0" applyProtection="0"/>
    <xf numFmtId="0" fontId="5" fillId="26" borderId="10" applyNumberFormat="0" applyFont="0" applyAlignment="0" applyProtection="0"/>
    <xf numFmtId="199" fontId="73" fillId="0" borderId="41"/>
    <xf numFmtId="199" fontId="74" fillId="0" borderId="41"/>
    <xf numFmtId="0" fontId="38" fillId="22" borderId="11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73" fillId="0" borderId="0"/>
    <xf numFmtId="0" fontId="75" fillId="0" borderId="0"/>
    <xf numFmtId="0" fontId="76" fillId="0" borderId="0"/>
    <xf numFmtId="0" fontId="74" fillId="0" borderId="0"/>
    <xf numFmtId="0" fontId="47" fillId="0" borderId="0" applyNumberFormat="0" applyFill="0" applyBorder="0" applyAlignment="0" applyProtection="0"/>
    <xf numFmtId="0" fontId="48" fillId="0" borderId="16" applyNumberFormat="0" applyFill="0" applyAlignment="0" applyProtection="0"/>
    <xf numFmtId="0" fontId="50" fillId="0" borderId="0" applyNumberForma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</cellStyleXfs>
  <cellXfs count="165">
    <xf numFmtId="0" fontId="0" fillId="0" borderId="0" xfId="0"/>
    <xf numFmtId="0" fontId="0" fillId="0" borderId="0" xfId="0" applyProtection="1"/>
    <xf numFmtId="0" fontId="0" fillId="0" borderId="0" xfId="0" applyAlignment="1" applyProtection="1">
      <alignment horizontal="center"/>
    </xf>
    <xf numFmtId="0" fontId="4" fillId="0" borderId="0" xfId="0" applyFont="1"/>
    <xf numFmtId="0" fontId="4" fillId="0" borderId="0" xfId="0" applyFont="1" applyAlignment="1">
      <alignment vertical="top"/>
    </xf>
    <xf numFmtId="14" fontId="4" fillId="0" borderId="0" xfId="0" applyNumberFormat="1" applyFont="1" applyAlignment="1">
      <alignment vertical="top"/>
    </xf>
    <xf numFmtId="0" fontId="4" fillId="0" borderId="0" xfId="0" applyFont="1" applyAlignment="1">
      <alignment wrapText="1"/>
    </xf>
    <xf numFmtId="0" fontId="54" fillId="0" borderId="0" xfId="0" applyFont="1"/>
    <xf numFmtId="0" fontId="55" fillId="0" borderId="0" xfId="0" applyFont="1"/>
    <xf numFmtId="0" fontId="56" fillId="0" borderId="0" xfId="0" applyFont="1"/>
    <xf numFmtId="3" fontId="57" fillId="0" borderId="0" xfId="0" applyNumberFormat="1" applyFont="1" applyAlignment="1">
      <alignment horizontal="center"/>
    </xf>
    <xf numFmtId="3" fontId="57" fillId="0" borderId="0" xfId="0" applyNumberFormat="1" applyFont="1" applyFill="1" applyAlignment="1">
      <alignment horizontal="center"/>
    </xf>
    <xf numFmtId="3" fontId="58" fillId="0" borderId="0" xfId="0" applyNumberFormat="1" applyFont="1" applyAlignment="1">
      <alignment horizontal="center"/>
    </xf>
    <xf numFmtId="3" fontId="58" fillId="0" borderId="0" xfId="0" applyNumberFormat="1" applyFont="1" applyFill="1" applyBorder="1" applyAlignment="1">
      <alignment horizontal="right"/>
    </xf>
    <xf numFmtId="3" fontId="58" fillId="0" borderId="0" xfId="0" applyNumberFormat="1" applyFont="1" applyBorder="1" applyAlignment="1">
      <alignment horizontal="right"/>
    </xf>
    <xf numFmtId="3" fontId="58" fillId="0" borderId="0" xfId="1002" applyNumberFormat="1" applyFont="1" applyBorder="1" applyAlignment="1">
      <alignment horizontal="right"/>
    </xf>
    <xf numFmtId="3" fontId="58" fillId="0" borderId="0" xfId="0" applyNumberFormat="1" applyFont="1" applyBorder="1" applyAlignment="1">
      <alignment horizontal="left"/>
    </xf>
    <xf numFmtId="3" fontId="58" fillId="0" borderId="18" xfId="0" applyNumberFormat="1" applyFont="1" applyBorder="1" applyAlignment="1">
      <alignment horizontal="right"/>
    </xf>
    <xf numFmtId="3" fontId="58" fillId="0" borderId="18" xfId="1003" applyNumberFormat="1" applyFont="1" applyBorder="1" applyAlignment="1">
      <alignment horizontal="right"/>
    </xf>
    <xf numFmtId="3" fontId="0" fillId="33" borderId="1" xfId="0" applyNumberFormat="1" applyFill="1" applyBorder="1" applyAlignment="1">
      <alignment horizontal="left"/>
    </xf>
    <xf numFmtId="3" fontId="0" fillId="0" borderId="0" xfId="0" applyNumberFormat="1" applyFill="1" applyBorder="1" applyAlignment="1">
      <alignment horizontal="right" wrapText="1"/>
    </xf>
    <xf numFmtId="3" fontId="0" fillId="33" borderId="1" xfId="1002" applyNumberFormat="1" applyFont="1" applyFill="1" applyBorder="1" applyAlignment="1">
      <alignment horizontal="right"/>
    </xf>
    <xf numFmtId="3" fontId="59" fillId="34" borderId="1" xfId="1002" applyNumberFormat="1" applyFont="1" applyFill="1" applyBorder="1" applyAlignment="1">
      <alignment horizontal="right"/>
    </xf>
    <xf numFmtId="3" fontId="61" fillId="0" borderId="0" xfId="0" applyNumberFormat="1" applyFont="1" applyFill="1" applyBorder="1" applyAlignment="1">
      <alignment horizontal="right" wrapText="1"/>
    </xf>
    <xf numFmtId="3" fontId="0" fillId="35" borderId="1" xfId="1002" applyNumberFormat="1" applyFont="1" applyFill="1" applyBorder="1" applyAlignment="1">
      <alignment horizontal="right"/>
    </xf>
    <xf numFmtId="3" fontId="0" fillId="36" borderId="1" xfId="1002" applyNumberFormat="1" applyFont="1" applyFill="1" applyBorder="1" applyAlignment="1">
      <alignment horizontal="right"/>
    </xf>
    <xf numFmtId="3" fontId="0" fillId="37" borderId="1" xfId="0" applyNumberFormat="1" applyFill="1" applyBorder="1" applyAlignment="1">
      <alignment horizontal="left"/>
    </xf>
    <xf numFmtId="3" fontId="0" fillId="37" borderId="1" xfId="1002" applyNumberFormat="1" applyFont="1" applyFill="1" applyBorder="1" applyAlignment="1">
      <alignment horizontal="right"/>
    </xf>
    <xf numFmtId="3" fontId="59" fillId="38" borderId="1" xfId="1002" applyNumberFormat="1" applyFont="1" applyFill="1" applyBorder="1" applyAlignment="1">
      <alignment horizontal="right"/>
    </xf>
    <xf numFmtId="3" fontId="0" fillId="39" borderId="1" xfId="0" applyNumberFormat="1" applyFill="1" applyBorder="1" applyAlignment="1">
      <alignment horizontal="left"/>
    </xf>
    <xf numFmtId="3" fontId="0" fillId="39" borderId="1" xfId="1002" applyNumberFormat="1" applyFont="1" applyFill="1" applyBorder="1" applyAlignment="1">
      <alignment horizontal="right"/>
    </xf>
    <xf numFmtId="3" fontId="0" fillId="40" borderId="1" xfId="1002" applyNumberFormat="1" applyFont="1" applyFill="1" applyBorder="1" applyAlignment="1">
      <alignment horizontal="right"/>
    </xf>
    <xf numFmtId="3" fontId="59" fillId="41" borderId="1" xfId="0" applyNumberFormat="1" applyFont="1" applyFill="1" applyBorder="1" applyAlignment="1">
      <alignment horizontal="left"/>
    </xf>
    <xf numFmtId="3" fontId="59" fillId="41" borderId="1" xfId="1002" applyNumberFormat="1" applyFont="1" applyFill="1" applyBorder="1" applyAlignment="1">
      <alignment horizontal="right"/>
    </xf>
    <xf numFmtId="3" fontId="0" fillId="0" borderId="1" xfId="1002" applyNumberFormat="1" applyFont="1" applyBorder="1" applyAlignment="1">
      <alignment horizontal="right"/>
    </xf>
    <xf numFmtId="3" fontId="0" fillId="29" borderId="1" xfId="0" applyNumberFormat="1" applyFill="1" applyBorder="1" applyAlignment="1">
      <alignment horizontal="left" wrapText="1"/>
    </xf>
    <xf numFmtId="3" fontId="58" fillId="30" borderId="1" xfId="0" applyNumberFormat="1" applyFont="1" applyFill="1" applyBorder="1" applyAlignment="1">
      <alignment horizontal="left"/>
    </xf>
    <xf numFmtId="3" fontId="0" fillId="30" borderId="1" xfId="1002" applyNumberFormat="1" applyFont="1" applyFill="1" applyBorder="1" applyAlignment="1">
      <alignment horizontal="right"/>
    </xf>
    <xf numFmtId="3" fontId="59" fillId="34" borderId="1" xfId="0" applyNumberFormat="1" applyFont="1" applyFill="1" applyBorder="1" applyAlignment="1">
      <alignment horizontal="left" indent="1"/>
    </xf>
    <xf numFmtId="3" fontId="0" fillId="35" borderId="1" xfId="0" applyNumberFormat="1" applyFill="1" applyBorder="1" applyAlignment="1">
      <alignment horizontal="left" indent="2"/>
    </xf>
    <xf numFmtId="3" fontId="0" fillId="36" borderId="1" xfId="0" applyNumberFormat="1" applyFill="1" applyBorder="1" applyAlignment="1">
      <alignment horizontal="left" indent="2"/>
    </xf>
    <xf numFmtId="3" fontId="59" fillId="38" borderId="1" xfId="0" applyNumberFormat="1" applyFont="1" applyFill="1" applyBorder="1" applyAlignment="1">
      <alignment horizontal="left" indent="1"/>
    </xf>
    <xf numFmtId="3" fontId="0" fillId="40" borderId="1" xfId="0" applyNumberFormat="1" applyFill="1" applyBorder="1" applyAlignment="1">
      <alignment horizontal="left" indent="1"/>
    </xf>
    <xf numFmtId="197" fontId="4" fillId="0" borderId="0" xfId="1002" applyNumberFormat="1" applyFont="1"/>
    <xf numFmtId="0" fontId="4" fillId="0" borderId="0" xfId="0" applyFont="1" applyAlignment="1">
      <alignment horizontal="center"/>
    </xf>
    <xf numFmtId="3" fontId="60" fillId="28" borderId="17" xfId="0" applyNumberFormat="1" applyFont="1" applyFill="1" applyBorder="1" applyAlignment="1">
      <alignment horizontal="center"/>
    </xf>
    <xf numFmtId="3" fontId="60" fillId="29" borderId="17" xfId="0" applyNumberFormat="1" applyFont="1" applyFill="1" applyBorder="1" applyAlignment="1">
      <alignment horizontal="center"/>
    </xf>
    <xf numFmtId="3" fontId="60" fillId="30" borderId="17" xfId="0" applyNumberFormat="1" applyFont="1" applyFill="1" applyBorder="1" applyAlignment="1">
      <alignment horizontal="center"/>
    </xf>
    <xf numFmtId="3" fontId="60" fillId="31" borderId="17" xfId="0" applyNumberFormat="1" applyFont="1" applyFill="1" applyBorder="1" applyAlignment="1">
      <alignment horizontal="center"/>
    </xf>
    <xf numFmtId="3" fontId="0" fillId="29" borderId="1" xfId="0" applyNumberFormat="1" applyFill="1" applyBorder="1" applyAlignment="1">
      <alignment horizontal="left" wrapText="1" indent="1"/>
    </xf>
    <xf numFmtId="3" fontId="61" fillId="29" borderId="1" xfId="0" applyNumberFormat="1" applyFont="1" applyFill="1" applyBorder="1" applyAlignment="1">
      <alignment horizontal="left" wrapText="1" indent="1"/>
    </xf>
    <xf numFmtId="3" fontId="58" fillId="35" borderId="1" xfId="0" applyNumberFormat="1" applyFont="1" applyFill="1" applyBorder="1" applyAlignment="1">
      <alignment horizontal="left"/>
    </xf>
    <xf numFmtId="3" fontId="60" fillId="32" borderId="17" xfId="0" applyNumberFormat="1" applyFont="1" applyFill="1" applyBorder="1" applyAlignment="1">
      <alignment horizontal="center"/>
    </xf>
    <xf numFmtId="197" fontId="62" fillId="42" borderId="0" xfId="1002" applyNumberFormat="1" applyFont="1" applyFill="1"/>
    <xf numFmtId="0" fontId="62" fillId="42" borderId="0" xfId="0" applyFont="1" applyFill="1"/>
    <xf numFmtId="3" fontId="57" fillId="42" borderId="17" xfId="0" applyNumberFormat="1" applyFont="1" applyFill="1" applyBorder="1" applyAlignment="1">
      <alignment horizontal="center"/>
    </xf>
    <xf numFmtId="0" fontId="4" fillId="0" borderId="20" xfId="0" applyFont="1" applyFill="1" applyBorder="1" applyAlignment="1">
      <alignment horizontal="center" vertical="center" wrapText="1"/>
    </xf>
    <xf numFmtId="0" fontId="4" fillId="0" borderId="21" xfId="0" applyFont="1" applyBorder="1"/>
    <xf numFmtId="3" fontId="4" fillId="40" borderId="22" xfId="0" applyNumberFormat="1" applyFont="1" applyFill="1" applyBorder="1" applyAlignment="1">
      <alignment horizontal="center" vertical="center" wrapText="1"/>
    </xf>
    <xf numFmtId="0" fontId="4" fillId="0" borderId="20" xfId="0" applyFont="1" applyBorder="1"/>
    <xf numFmtId="0" fontId="4" fillId="0" borderId="23" xfId="0" applyFont="1" applyBorder="1"/>
    <xf numFmtId="0" fontId="4" fillId="0" borderId="0" xfId="0" applyFont="1" applyBorder="1"/>
    <xf numFmtId="0" fontId="4" fillId="0" borderId="0" xfId="0" applyFont="1" applyFill="1" applyBorder="1"/>
    <xf numFmtId="3" fontId="4" fillId="0" borderId="19" xfId="0" applyNumberFormat="1" applyFont="1" applyFill="1" applyBorder="1" applyAlignment="1">
      <alignment horizontal="center"/>
    </xf>
    <xf numFmtId="3" fontId="4" fillId="30" borderId="24" xfId="0" applyNumberFormat="1" applyFont="1" applyFill="1" applyBorder="1" applyAlignment="1">
      <alignment horizontal="center"/>
    </xf>
    <xf numFmtId="0" fontId="4" fillId="0" borderId="19" xfId="0" applyFont="1" applyBorder="1"/>
    <xf numFmtId="0" fontId="4" fillId="0" borderId="0" xfId="0" applyFont="1" applyFill="1" applyBorder="1" applyAlignment="1">
      <alignment horizontal="center" vertical="center" wrapText="1"/>
    </xf>
    <xf numFmtId="0" fontId="4" fillId="0" borderId="25" xfId="0" applyFont="1" applyFill="1" applyBorder="1"/>
    <xf numFmtId="3" fontId="4" fillId="0" borderId="0" xfId="0" applyNumberFormat="1" applyFont="1" applyFill="1" applyBorder="1" applyAlignment="1">
      <alignment horizontal="center" vertical="center" wrapText="1"/>
    </xf>
    <xf numFmtId="3" fontId="4" fillId="0" borderId="0" xfId="0" applyNumberFormat="1" applyFont="1" applyFill="1" applyBorder="1" applyAlignment="1">
      <alignment horizontal="center"/>
    </xf>
    <xf numFmtId="3" fontId="4" fillId="0" borderId="25" xfId="0" applyNumberFormat="1" applyFont="1" applyFill="1" applyBorder="1" applyAlignment="1">
      <alignment horizontal="center"/>
    </xf>
    <xf numFmtId="0" fontId="4" fillId="28" borderId="23" xfId="0" applyFont="1" applyFill="1" applyBorder="1"/>
    <xf numFmtId="0" fontId="4" fillId="28" borderId="0" xfId="0" applyFont="1" applyFill="1" applyBorder="1"/>
    <xf numFmtId="0" fontId="4" fillId="0" borderId="25" xfId="0" applyFont="1" applyBorder="1"/>
    <xf numFmtId="0" fontId="4" fillId="28" borderId="20" xfId="0" applyFont="1" applyFill="1" applyBorder="1"/>
    <xf numFmtId="3" fontId="4" fillId="40" borderId="26" xfId="0" applyNumberFormat="1" applyFont="1" applyFill="1" applyBorder="1" applyAlignment="1">
      <alignment horizontal="center" vertical="center" wrapText="1"/>
    </xf>
    <xf numFmtId="0" fontId="4" fillId="40" borderId="26" xfId="0" applyFont="1" applyFill="1" applyBorder="1" applyAlignment="1">
      <alignment horizontal="center" vertical="center" wrapText="1"/>
    </xf>
    <xf numFmtId="0" fontId="4" fillId="28" borderId="25" xfId="0" applyFont="1" applyFill="1" applyBorder="1"/>
    <xf numFmtId="0" fontId="4" fillId="40" borderId="22" xfId="0" applyFont="1" applyFill="1" applyBorder="1" applyAlignment="1">
      <alignment horizontal="center" vertical="center" wrapText="1"/>
    </xf>
    <xf numFmtId="0" fontId="4" fillId="0" borderId="27" xfId="0" applyFont="1" applyBorder="1"/>
    <xf numFmtId="3" fontId="4" fillId="0" borderId="0" xfId="0" applyNumberFormat="1" applyFont="1" applyBorder="1"/>
    <xf numFmtId="0" fontId="4" fillId="0" borderId="24" xfId="0" applyFont="1" applyBorder="1"/>
    <xf numFmtId="43" fontId="4" fillId="0" borderId="0" xfId="1002" applyFont="1" applyBorder="1"/>
    <xf numFmtId="3" fontId="63" fillId="55" borderId="24" xfId="0" applyNumberFormat="1" applyFont="1" applyFill="1" applyBorder="1" applyAlignment="1">
      <alignment horizontal="center"/>
    </xf>
    <xf numFmtId="4" fontId="63" fillId="55" borderId="24" xfId="0" applyNumberFormat="1" applyFont="1" applyFill="1" applyBorder="1" applyAlignment="1">
      <alignment horizontal="center"/>
    </xf>
    <xf numFmtId="0" fontId="0" fillId="30" borderId="28" xfId="0" applyFill="1" applyBorder="1"/>
    <xf numFmtId="0" fontId="59" fillId="55" borderId="28" xfId="0" applyFont="1" applyFill="1" applyBorder="1"/>
    <xf numFmtId="0" fontId="58" fillId="0" borderId="28" xfId="0" applyFont="1" applyFill="1" applyBorder="1" applyAlignment="1">
      <alignment horizontal="center"/>
    </xf>
    <xf numFmtId="4" fontId="4" fillId="30" borderId="24" xfId="0" applyNumberFormat="1" applyFont="1" applyFill="1" applyBorder="1" applyAlignment="1">
      <alignment horizontal="center"/>
    </xf>
    <xf numFmtId="0" fontId="59" fillId="56" borderId="28" xfId="0" applyFont="1" applyFill="1" applyBorder="1"/>
    <xf numFmtId="3" fontId="63" fillId="56" borderId="24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/>
    <xf numFmtId="0" fontId="4" fillId="0" borderId="31" xfId="0" applyFont="1" applyFill="1" applyBorder="1" applyAlignment="1">
      <alignment vertical="center"/>
    </xf>
    <xf numFmtId="0" fontId="4" fillId="40" borderId="33" xfId="0" applyFont="1" applyFill="1" applyBorder="1" applyAlignment="1">
      <alignment vertical="center" wrapText="1"/>
    </xf>
    <xf numFmtId="0" fontId="4" fillId="40" borderId="36" xfId="0" applyFont="1" applyFill="1" applyBorder="1" applyAlignment="1">
      <alignment vertical="center" wrapText="1"/>
    </xf>
    <xf numFmtId="0" fontId="0" fillId="0" borderId="37" xfId="0" applyFill="1" applyBorder="1"/>
    <xf numFmtId="0" fontId="0" fillId="0" borderId="31" xfId="0" applyBorder="1"/>
    <xf numFmtId="0" fontId="4" fillId="31" borderId="29" xfId="0" applyFont="1" applyFill="1" applyBorder="1" applyAlignment="1">
      <alignment horizontal="center" vertical="center"/>
    </xf>
    <xf numFmtId="0" fontId="0" fillId="0" borderId="38" xfId="0" applyBorder="1"/>
    <xf numFmtId="1" fontId="4" fillId="0" borderId="35" xfId="0" applyNumberFormat="1" applyFont="1" applyFill="1" applyBorder="1" applyAlignment="1">
      <alignment horizontal="center"/>
    </xf>
    <xf numFmtId="1" fontId="4" fillId="0" borderId="37" xfId="0" applyNumberFormat="1" applyFont="1" applyFill="1" applyBorder="1" applyAlignment="1">
      <alignment horizontal="center"/>
    </xf>
    <xf numFmtId="0" fontId="4" fillId="31" borderId="29" xfId="0" applyFont="1" applyFill="1" applyBorder="1" applyAlignment="1">
      <alignment vertical="center"/>
    </xf>
    <xf numFmtId="0" fontId="4" fillId="0" borderId="38" xfId="0" applyFont="1" applyFill="1" applyBorder="1" applyAlignment="1">
      <alignment vertical="center"/>
    </xf>
    <xf numFmtId="0" fontId="4" fillId="28" borderId="0" xfId="0" applyFont="1" applyFill="1" applyBorder="1" applyAlignment="1">
      <alignment horizontal="center" vertical="center" wrapText="1"/>
    </xf>
    <xf numFmtId="0" fontId="4" fillId="40" borderId="34" xfId="0" applyFont="1" applyFill="1" applyBorder="1" applyAlignment="1">
      <alignment vertical="center" wrapText="1"/>
    </xf>
    <xf numFmtId="0" fontId="4" fillId="28" borderId="30" xfId="0" applyFont="1" applyFill="1" applyBorder="1" applyAlignment="1">
      <alignment horizontal="center" vertical="center" wrapText="1"/>
    </xf>
    <xf numFmtId="197" fontId="4" fillId="30" borderId="37" xfId="1002" applyNumberFormat="1" applyFont="1" applyFill="1" applyBorder="1" applyAlignment="1">
      <alignment horizontal="right"/>
    </xf>
    <xf numFmtId="197" fontId="4" fillId="30" borderId="33" xfId="1002" applyNumberFormat="1" applyFont="1" applyFill="1" applyBorder="1" applyAlignment="1">
      <alignment horizontal="right"/>
    </xf>
    <xf numFmtId="1" fontId="4" fillId="30" borderId="35" xfId="0" applyNumberFormat="1" applyFont="1" applyFill="1" applyBorder="1" applyAlignment="1">
      <alignment horizontal="right"/>
    </xf>
    <xf numFmtId="1" fontId="4" fillId="30" borderId="37" xfId="0" applyNumberFormat="1" applyFont="1" applyFill="1" applyBorder="1" applyAlignment="1">
      <alignment horizontal="right"/>
    </xf>
    <xf numFmtId="9" fontId="4" fillId="30" borderId="32" xfId="1004" applyFont="1" applyFill="1" applyBorder="1" applyAlignment="1">
      <alignment horizontal="right"/>
    </xf>
    <xf numFmtId="9" fontId="4" fillId="30" borderId="36" xfId="1004" applyFont="1" applyFill="1" applyBorder="1" applyAlignment="1">
      <alignment horizontal="right"/>
    </xf>
    <xf numFmtId="1" fontId="4" fillId="30" borderId="34" xfId="0" applyNumberFormat="1" applyFont="1" applyFill="1" applyBorder="1" applyAlignment="1">
      <alignment horizontal="right"/>
    </xf>
    <xf numFmtId="1" fontId="4" fillId="30" borderId="33" xfId="0" applyNumberFormat="1" applyFont="1" applyFill="1" applyBorder="1" applyAlignment="1">
      <alignment horizontal="right"/>
    </xf>
    <xf numFmtId="4" fontId="65" fillId="30" borderId="24" xfId="0" applyNumberFormat="1" applyFont="1" applyFill="1" applyBorder="1" applyAlignment="1">
      <alignment horizontal="center"/>
    </xf>
    <xf numFmtId="3" fontId="65" fillId="30" borderId="24" xfId="0" applyNumberFormat="1" applyFont="1" applyFill="1" applyBorder="1" applyAlignment="1">
      <alignment horizontal="center"/>
    </xf>
    <xf numFmtId="200" fontId="65" fillId="30" borderId="24" xfId="1004" applyNumberFormat="1" applyFont="1" applyFill="1" applyBorder="1" applyAlignment="1">
      <alignment horizontal="center"/>
    </xf>
    <xf numFmtId="0" fontId="65" fillId="30" borderId="24" xfId="1004" applyNumberFormat="1" applyFont="1" applyFill="1" applyBorder="1" applyAlignment="1">
      <alignment horizontal="center"/>
    </xf>
    <xf numFmtId="9" fontId="65" fillId="30" borderId="24" xfId="1004" applyFont="1" applyFill="1" applyBorder="1" applyAlignment="1">
      <alignment horizontal="center"/>
    </xf>
    <xf numFmtId="3" fontId="63" fillId="58" borderId="24" xfId="0" applyNumberFormat="1" applyFont="1" applyFill="1" applyBorder="1" applyAlignment="1">
      <alignment horizontal="center"/>
    </xf>
    <xf numFmtId="9" fontId="63" fillId="59" borderId="24" xfId="1004" applyFont="1" applyFill="1" applyBorder="1" applyAlignment="1">
      <alignment horizontal="center"/>
    </xf>
    <xf numFmtId="4" fontId="65" fillId="30" borderId="42" xfId="0" applyNumberFormat="1" applyFont="1" applyFill="1" applyBorder="1" applyAlignment="1">
      <alignment horizontal="center" vertical="center"/>
    </xf>
    <xf numFmtId="3" fontId="63" fillId="58" borderId="42" xfId="0" applyNumberFormat="1" applyFont="1" applyFill="1" applyBorder="1" applyAlignment="1">
      <alignment horizontal="center" vertical="center"/>
    </xf>
    <xf numFmtId="9" fontId="63" fillId="59" borderId="42" xfId="1004" applyFont="1" applyFill="1" applyBorder="1" applyAlignment="1">
      <alignment horizontal="center" vertical="center"/>
    </xf>
    <xf numFmtId="0" fontId="59" fillId="42" borderId="43" xfId="0" applyNumberFormat="1" applyFont="1" applyFill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197" fontId="0" fillId="0" borderId="45" xfId="1002" applyNumberFormat="1" applyFont="1" applyBorder="1" applyAlignment="1">
      <alignment horizontal="right"/>
    </xf>
    <xf numFmtId="197" fontId="0" fillId="0" borderId="45" xfId="1002" applyNumberFormat="1" applyFont="1" applyFill="1" applyBorder="1" applyAlignment="1">
      <alignment horizontal="right"/>
    </xf>
    <xf numFmtId="201" fontId="0" fillId="0" borderId="44" xfId="1003" applyNumberFormat="1" applyFont="1" applyFill="1" applyBorder="1" applyAlignment="1">
      <alignment horizontal="right"/>
    </xf>
    <xf numFmtId="201" fontId="0" fillId="0" borderId="45" xfId="1003" applyNumberFormat="1" applyFont="1" applyFill="1" applyBorder="1" applyAlignment="1">
      <alignment horizontal="right"/>
    </xf>
    <xf numFmtId="0" fontId="0" fillId="0" borderId="47" xfId="0" applyBorder="1" applyAlignment="1">
      <alignment horizontal="center"/>
    </xf>
    <xf numFmtId="197" fontId="0" fillId="0" borderId="47" xfId="1002" applyNumberFormat="1" applyFont="1" applyFill="1" applyBorder="1" applyAlignment="1">
      <alignment horizontal="right"/>
    </xf>
    <xf numFmtId="197" fontId="0" fillId="0" borderId="47" xfId="1002" applyNumberFormat="1" applyFont="1" applyBorder="1" applyAlignment="1">
      <alignment horizontal="right"/>
    </xf>
    <xf numFmtId="197" fontId="0" fillId="0" borderId="48" xfId="1002" applyNumberFormat="1" applyFont="1" applyBorder="1" applyAlignment="1">
      <alignment horizontal="right"/>
    </xf>
    <xf numFmtId="197" fontId="0" fillId="0" borderId="50" xfId="1002" applyNumberFormat="1" applyFont="1" applyBorder="1" applyAlignment="1">
      <alignment horizontal="right"/>
    </xf>
    <xf numFmtId="0" fontId="0" fillId="0" borderId="0" xfId="0" applyBorder="1" applyAlignment="1">
      <alignment horizontal="center"/>
    </xf>
    <xf numFmtId="201" fontId="0" fillId="0" borderId="0" xfId="1003" applyNumberFormat="1" applyFont="1" applyFill="1" applyBorder="1" applyAlignment="1">
      <alignment horizontal="right"/>
    </xf>
    <xf numFmtId="201" fontId="0" fillId="0" borderId="0" xfId="1003" applyNumberFormat="1" applyFont="1" applyBorder="1" applyAlignment="1">
      <alignment horizontal="right"/>
    </xf>
    <xf numFmtId="201" fontId="0" fillId="0" borderId="52" xfId="1003" applyNumberFormat="1" applyFont="1" applyBorder="1" applyAlignment="1">
      <alignment horizontal="right"/>
    </xf>
    <xf numFmtId="201" fontId="0" fillId="0" borderId="54" xfId="1003" applyNumberFormat="1" applyFont="1" applyFill="1" applyBorder="1" applyAlignment="1">
      <alignment horizontal="right"/>
    </xf>
    <xf numFmtId="201" fontId="0" fillId="0" borderId="50" xfId="1003" applyNumberFormat="1" applyFont="1" applyFill="1" applyBorder="1" applyAlignment="1">
      <alignment horizontal="right"/>
    </xf>
    <xf numFmtId="0" fontId="0" fillId="0" borderId="4" xfId="0" applyBorder="1" applyAlignment="1">
      <alignment horizontal="center"/>
    </xf>
    <xf numFmtId="201" fontId="0" fillId="0" borderId="4" xfId="1003" applyNumberFormat="1" applyFont="1" applyFill="1" applyBorder="1" applyAlignment="1">
      <alignment horizontal="right"/>
    </xf>
    <xf numFmtId="201" fontId="0" fillId="0" borderId="56" xfId="1003" applyNumberFormat="1" applyFont="1" applyFill="1" applyBorder="1" applyAlignment="1">
      <alignment horizontal="right"/>
    </xf>
    <xf numFmtId="9" fontId="4" fillId="30" borderId="24" xfId="1004" applyFont="1" applyFill="1" applyBorder="1" applyAlignment="1">
      <alignment horizontal="center"/>
    </xf>
    <xf numFmtId="0" fontId="77" fillId="0" borderId="0" xfId="0" applyFont="1"/>
    <xf numFmtId="0" fontId="62" fillId="42" borderId="0" xfId="0" applyFont="1" applyFill="1" applyAlignment="1">
      <alignment horizontal="center" vertical="center"/>
    </xf>
    <xf numFmtId="9" fontId="77" fillId="0" borderId="0" xfId="1004" applyFont="1"/>
    <xf numFmtId="43" fontId="77" fillId="0" borderId="0" xfId="1002" applyFont="1"/>
    <xf numFmtId="0" fontId="78" fillId="0" borderId="0" xfId="0" applyFont="1" applyAlignment="1">
      <alignment horizontal="left" vertical="center" indent="4"/>
    </xf>
    <xf numFmtId="9" fontId="63" fillId="57" borderId="36" xfId="1004" applyFont="1" applyFill="1" applyBorder="1" applyAlignment="1">
      <alignment horizontal="right"/>
    </xf>
    <xf numFmtId="9" fontId="63" fillId="56" borderId="36" xfId="1004" applyFont="1" applyFill="1" applyBorder="1" applyAlignment="1">
      <alignment horizontal="right"/>
    </xf>
    <xf numFmtId="0" fontId="30" fillId="0" borderId="0" xfId="1174" applyAlignment="1" applyProtection="1"/>
    <xf numFmtId="0" fontId="66" fillId="28" borderId="0" xfId="0" applyFont="1" applyFill="1" applyBorder="1" applyAlignment="1">
      <alignment horizontal="center"/>
    </xf>
    <xf numFmtId="0" fontId="66" fillId="28" borderId="0" xfId="0" quotePrefix="1" applyFont="1" applyFill="1" applyBorder="1" applyAlignment="1">
      <alignment horizontal="center"/>
    </xf>
    <xf numFmtId="0" fontId="64" fillId="28" borderId="0" xfId="0" applyFont="1" applyFill="1" applyBorder="1" applyAlignment="1">
      <alignment horizontal="center"/>
    </xf>
    <xf numFmtId="0" fontId="67" fillId="28" borderId="0" xfId="0" quotePrefix="1" applyFont="1" applyFill="1" applyBorder="1" applyAlignment="1">
      <alignment horizontal="center"/>
    </xf>
    <xf numFmtId="0" fontId="67" fillId="28" borderId="0" xfId="0" applyFont="1" applyFill="1" applyBorder="1" applyAlignment="1">
      <alignment horizontal="center"/>
    </xf>
    <xf numFmtId="0" fontId="0" fillId="0" borderId="46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</cellXfs>
  <cellStyles count="1175">
    <cellStyle name=" Writer Import]_x000d__x000a_Display Dialog=No_x000d__x000a__x000d__x000a_[Horizontal Arrange]_x000d__x000a_Dimensions Interlocking=Yes_x000d__x000a_Sum Hierarchy=Yes_x000d__x000a_Generate" xfId="1"/>
    <cellStyle name="_Book2 Chart 1" xfId="2"/>
    <cellStyle name="_Book2 Chart 1 2" xfId="3"/>
    <cellStyle name="_Book2 Chart 1 3" xfId="4"/>
    <cellStyle name="_Book2 Chart 1 4" xfId="5"/>
    <cellStyle name="_Book2 Chart 1-1" xfId="6"/>
    <cellStyle name="_Book2 Chart 1-1 2" xfId="7"/>
    <cellStyle name="_Book2 Chart 1-1 3" xfId="8"/>
    <cellStyle name="_Book2 Chart 1-1 4" xfId="9"/>
    <cellStyle name="_Book2 Chart 1-2" xfId="10"/>
    <cellStyle name="_Book2 Chart 1-2 2" xfId="11"/>
    <cellStyle name="_Book2 Chart 1-2 3" xfId="12"/>
    <cellStyle name="_Book2 Chart 1-2 4" xfId="13"/>
    <cellStyle name="_BPR data file" xfId="14"/>
    <cellStyle name="_BPR data file 2" xfId="15"/>
    <cellStyle name="_BPR data file 3" xfId="16"/>
    <cellStyle name="_BPR data file 4" xfId="17"/>
    <cellStyle name="_BPR data file Mar06 - corrected" xfId="18"/>
    <cellStyle name="_December Review Data File contract labour" xfId="19"/>
    <cellStyle name="_December Review Data File contract labour 2" xfId="20"/>
    <cellStyle name="_December Review Data File contract labour 3" xfId="21"/>
    <cellStyle name="_December Review Data File contract labour 4" xfId="22"/>
    <cellStyle name="_March Review Data File.xls Chart 1" xfId="23"/>
    <cellStyle name="_March Review Data File.xls Chart 1 2" xfId="24"/>
    <cellStyle name="_March Review Data File.xls Chart 1 3" xfId="25"/>
    <cellStyle name="_March Review Data File.xls Chart 1 4" xfId="26"/>
    <cellStyle name="_March Review Data File.xls Chart 1-1" xfId="27"/>
    <cellStyle name="_March Review Data File.xls Chart 1-1 2" xfId="28"/>
    <cellStyle name="_March Review Data File.xls Chart 1-1 3" xfId="29"/>
    <cellStyle name="_March Review Data File.xls Chart 1-1 4" xfId="30"/>
    <cellStyle name="_New BPR data file Feb05" xfId="31"/>
    <cellStyle name="_New BPR data file Feb05 2" xfId="32"/>
    <cellStyle name="_New BPR data file Feb05 3" xfId="33"/>
    <cellStyle name="_New BPR data file Feb05 4" xfId="34"/>
    <cellStyle name="_New BPR data file Feb05.xls Chart 1" xfId="35"/>
    <cellStyle name="_New BPR data file Feb05.xls Chart 1 2" xfId="36"/>
    <cellStyle name="_New BPR data file Feb05.xls Chart 1 3" xfId="37"/>
    <cellStyle name="_New BPR data file Feb05.xls Chart 1 4" xfId="38"/>
    <cellStyle name="_New BPR data file Feb05.xls Chart 1-1" xfId="39"/>
    <cellStyle name="_New BPR data file Feb05.xls Chart 1-1 2" xfId="40"/>
    <cellStyle name="_New BPR data file Feb05.xls Chart 1-1 3" xfId="41"/>
    <cellStyle name="_New BPR data file Feb05.xls Chart 1-1 4" xfId="42"/>
    <cellStyle name="_New BPR data file Feb05.xls Chart 1-2" xfId="43"/>
    <cellStyle name="_New BPR data file Feb05.xls Chart 1-2 2" xfId="44"/>
    <cellStyle name="_New BPR data file Feb05.xls Chart 1-2 3" xfId="45"/>
    <cellStyle name="_New BPR data file Feb05.xls Chart 1-2 4" xfId="46"/>
    <cellStyle name="_PL February v Plan" xfId="47"/>
    <cellStyle name="_PL February v Plan 2" xfId="48"/>
    <cellStyle name="_PL February v Plan 3" xfId="49"/>
    <cellStyle name="_PL February v Plan 4" xfId="50"/>
    <cellStyle name="_Product graphs (v2)060309" xfId="51"/>
    <cellStyle name="_Product graphs (v2)060309 2" xfId="52"/>
    <cellStyle name="_Product graphs (v2)060309 3" xfId="53"/>
    <cellStyle name="_Product graphs (v2)060309 4" xfId="54"/>
    <cellStyle name="_Product Profitability" xfId="55"/>
    <cellStyle name="_Product Profitability 2" xfId="56"/>
    <cellStyle name="_Product Profitability 3" xfId="57"/>
    <cellStyle name="_Product Profitability 4" xfId="58"/>
    <cellStyle name="_Revised BPR data file" xfId="59"/>
    <cellStyle name="_Revised BPR data file 2" xfId="60"/>
    <cellStyle name="_Revised BPR data file 3" xfId="61"/>
    <cellStyle name="_Revised BPR data file 4" xfId="62"/>
    <cellStyle name="_Tradings Days v Paid Days 0304  0405" xfId="63"/>
    <cellStyle name="20% - Accent1 10" xfId="64"/>
    <cellStyle name="20% - Accent1 10 2" xfId="65"/>
    <cellStyle name="20% - Accent1 10_MinePlan_Blair_Athol_2009LOM 20090930_Option4 (Calendar Chgd)" xfId="66"/>
    <cellStyle name="20% - Accent1 11" xfId="67"/>
    <cellStyle name="20% - Accent1 11 2" xfId="68"/>
    <cellStyle name="20% - Accent1 11_MinePlan_Blair_Athol_2009LOM 20090930_Option4 (Calendar Chgd)" xfId="69"/>
    <cellStyle name="20% - Accent1 12" xfId="70"/>
    <cellStyle name="20% - Accent1 12 2" xfId="71"/>
    <cellStyle name="20% - Accent1 12_MinePlan_Blair_Athol_2009LOM 20090930_Option4 (Calendar Chgd)" xfId="72"/>
    <cellStyle name="20% - Accent1 13" xfId="73"/>
    <cellStyle name="20% - Accent1 13 2" xfId="74"/>
    <cellStyle name="20% - Accent1 13_MinePlan_Blair_Athol_2009LOM 20090930_Option4 (Calendar Chgd)" xfId="75"/>
    <cellStyle name="20% - Accent1 2" xfId="76"/>
    <cellStyle name="20% - Accent1 2 2" xfId="77"/>
    <cellStyle name="20% - Accent1 2 2 2" xfId="1005"/>
    <cellStyle name="20% - Accent1 2 3" xfId="1006"/>
    <cellStyle name="20% - Accent1 2_MinePlan_Blair_Athol_2009LOM 20090930_Option4 (Calendar Chgd)" xfId="78"/>
    <cellStyle name="20% - Accent1 3" xfId="79"/>
    <cellStyle name="20% - Accent1 3 2" xfId="80"/>
    <cellStyle name="20% - Accent1 3_MinePlan_Blair_Athol_2009LOM 20090930_Option4 (Calendar Chgd)" xfId="81"/>
    <cellStyle name="20% - Accent1 4" xfId="82"/>
    <cellStyle name="20% - Accent1 4 2" xfId="83"/>
    <cellStyle name="20% - Accent1 4_MinePlan_Blair_Athol_2009LOM 20090930_Option4 (Calendar Chgd)" xfId="84"/>
    <cellStyle name="20% - Accent1 5" xfId="85"/>
    <cellStyle name="20% - Accent1 5 2" xfId="86"/>
    <cellStyle name="20% - Accent1 5_MinePlan_Blair_Athol_2009LOM 20090930_Option4 (Calendar Chgd)" xfId="87"/>
    <cellStyle name="20% - Accent1 6" xfId="88"/>
    <cellStyle name="20% - Accent1 6 2" xfId="89"/>
    <cellStyle name="20% - Accent1 6_MinePlan_Blair_Athol_2009LOM 20090930_Option4 (Calendar Chgd)" xfId="90"/>
    <cellStyle name="20% - Accent1 7" xfId="91"/>
    <cellStyle name="20% - Accent1 7 2" xfId="92"/>
    <cellStyle name="20% - Accent1 7_MinePlan_Blair_Athol_2009LOM 20090930_Option4 (Calendar Chgd)" xfId="93"/>
    <cellStyle name="20% - Accent1 8" xfId="94"/>
    <cellStyle name="20% - Accent1 8 2" xfId="95"/>
    <cellStyle name="20% - Accent1 8_MinePlan_Blair_Athol_2009LOM 20090930_Option4 (Calendar Chgd)" xfId="96"/>
    <cellStyle name="20% - Accent1 9" xfId="97"/>
    <cellStyle name="20% - Accent1 9 2" xfId="98"/>
    <cellStyle name="20% - Accent1 9_MinePlan_Blair_Athol_2009LOM 20090930_Option4 (Calendar Chgd)" xfId="99"/>
    <cellStyle name="20% - Accent2 10" xfId="100"/>
    <cellStyle name="20% - Accent2 10 2" xfId="101"/>
    <cellStyle name="20% - Accent2 10_MinePlan_Blair_Athol_2009LOM 20090930_Option4 (Calendar Chgd)" xfId="102"/>
    <cellStyle name="20% - Accent2 11" xfId="103"/>
    <cellStyle name="20% - Accent2 11 2" xfId="104"/>
    <cellStyle name="20% - Accent2 11_MinePlan_Blair_Athol_2009LOM 20090930_Option4 (Calendar Chgd)" xfId="105"/>
    <cellStyle name="20% - Accent2 12" xfId="106"/>
    <cellStyle name="20% - Accent2 12 2" xfId="107"/>
    <cellStyle name="20% - Accent2 12_MinePlan_Blair_Athol_2009LOM 20090930_Option4 (Calendar Chgd)" xfId="108"/>
    <cellStyle name="20% - Accent2 13" xfId="109"/>
    <cellStyle name="20% - Accent2 13 2" xfId="110"/>
    <cellStyle name="20% - Accent2 13_MinePlan_Blair_Athol_2009LOM 20090930_Option4 (Calendar Chgd)" xfId="111"/>
    <cellStyle name="20% - Accent2 2" xfId="112"/>
    <cellStyle name="20% - Accent2 2 2" xfId="113"/>
    <cellStyle name="20% - Accent2 2 2 2" xfId="1007"/>
    <cellStyle name="20% - Accent2 2 3" xfId="1008"/>
    <cellStyle name="20% - Accent2 2_MinePlan_Blair_Athol_2009LOM 20090930_Option4 (Calendar Chgd)" xfId="114"/>
    <cellStyle name="20% - Accent2 3" xfId="115"/>
    <cellStyle name="20% - Accent2 3 2" xfId="116"/>
    <cellStyle name="20% - Accent2 3_MinePlan_Blair_Athol_2009LOM 20090930_Option4 (Calendar Chgd)" xfId="117"/>
    <cellStyle name="20% - Accent2 4" xfId="118"/>
    <cellStyle name="20% - Accent2 4 2" xfId="119"/>
    <cellStyle name="20% - Accent2 4_MinePlan_Blair_Athol_2009LOM 20090930_Option4 (Calendar Chgd)" xfId="120"/>
    <cellStyle name="20% - Accent2 5" xfId="121"/>
    <cellStyle name="20% - Accent2 5 2" xfId="122"/>
    <cellStyle name="20% - Accent2 5_MinePlan_Blair_Athol_2009LOM 20090930_Option4 (Calendar Chgd)" xfId="123"/>
    <cellStyle name="20% - Accent2 6" xfId="124"/>
    <cellStyle name="20% - Accent2 6 2" xfId="125"/>
    <cellStyle name="20% - Accent2 6_MinePlan_Blair_Athol_2009LOM 20090930_Option4 (Calendar Chgd)" xfId="126"/>
    <cellStyle name="20% - Accent2 7" xfId="127"/>
    <cellStyle name="20% - Accent2 7 2" xfId="128"/>
    <cellStyle name="20% - Accent2 7_MinePlan_Blair_Athol_2009LOM 20090930_Option4 (Calendar Chgd)" xfId="129"/>
    <cellStyle name="20% - Accent2 8" xfId="130"/>
    <cellStyle name="20% - Accent2 8 2" xfId="131"/>
    <cellStyle name="20% - Accent2 8_MinePlan_Blair_Athol_2009LOM 20090930_Option4 (Calendar Chgd)" xfId="132"/>
    <cellStyle name="20% - Accent2 9" xfId="133"/>
    <cellStyle name="20% - Accent2 9 2" xfId="134"/>
    <cellStyle name="20% - Accent2 9_MinePlan_Blair_Athol_2009LOM 20090930_Option4 (Calendar Chgd)" xfId="135"/>
    <cellStyle name="20% - Accent3 2" xfId="136"/>
    <cellStyle name="20% - Accent3 2 2" xfId="1009"/>
    <cellStyle name="20% - Accent3 2 2 2" xfId="1010"/>
    <cellStyle name="20% - Accent3 2 3" xfId="1011"/>
    <cellStyle name="20% - Accent3 3" xfId="137"/>
    <cellStyle name="20% - Accent3 3 2" xfId="1012"/>
    <cellStyle name="20% - Accent3 4" xfId="1013"/>
    <cellStyle name="20% - Accent3 5" xfId="1014"/>
    <cellStyle name="20% - Accent4 2" xfId="138"/>
    <cellStyle name="20% - Accent4 2 2" xfId="1015"/>
    <cellStyle name="20% - Accent4 2 2 2" xfId="1016"/>
    <cellStyle name="20% - Accent4 2 3" xfId="1017"/>
    <cellStyle name="20% - Accent4 3" xfId="139"/>
    <cellStyle name="20% - Accent4 3 2" xfId="1018"/>
    <cellStyle name="20% - Accent4 4" xfId="1019"/>
    <cellStyle name="20% - Accent4 5" xfId="1020"/>
    <cellStyle name="20% - Accent5 2" xfId="140"/>
    <cellStyle name="20% - Accent5 2 2" xfId="1021"/>
    <cellStyle name="20% - Accent5 2 2 2" xfId="1022"/>
    <cellStyle name="20% - Accent5 2 3" xfId="1023"/>
    <cellStyle name="20% - Accent5 3" xfId="141"/>
    <cellStyle name="20% - Accent5 3 2" xfId="1024"/>
    <cellStyle name="20% - Accent5 4" xfId="1025"/>
    <cellStyle name="20% - Accent5 5" xfId="1026"/>
    <cellStyle name="20% - Accent6 2" xfId="142"/>
    <cellStyle name="20% - Accent6 2 2" xfId="1027"/>
    <cellStyle name="20% - Accent6 2 2 2" xfId="1028"/>
    <cellStyle name="20% - Accent6 2 3" xfId="1029"/>
    <cellStyle name="20% - Accent6 3" xfId="143"/>
    <cellStyle name="20% - Accent6 3 2" xfId="1030"/>
    <cellStyle name="20% - Accent6 4" xfId="1031"/>
    <cellStyle name="20% - Accent6 5" xfId="1032"/>
    <cellStyle name="40% - Accent1 2" xfId="144"/>
    <cellStyle name="40% - Accent1 2 2" xfId="1033"/>
    <cellStyle name="40% - Accent1 2 2 2" xfId="1034"/>
    <cellStyle name="40% - Accent1 2 3" xfId="1035"/>
    <cellStyle name="40% - Accent1 3" xfId="145"/>
    <cellStyle name="40% - Accent1 3 2" xfId="1036"/>
    <cellStyle name="40% - Accent1 4" xfId="1037"/>
    <cellStyle name="40% - Accent1 5" xfId="1038"/>
    <cellStyle name="40% - Accent2 2" xfId="146"/>
    <cellStyle name="40% - Accent2 2 2" xfId="1039"/>
    <cellStyle name="40% - Accent2 2 2 2" xfId="1040"/>
    <cellStyle name="40% - Accent2 2 3" xfId="1041"/>
    <cellStyle name="40% - Accent2 3" xfId="147"/>
    <cellStyle name="40% - Accent2 3 2" xfId="1042"/>
    <cellStyle name="40% - Accent2 4" xfId="1043"/>
    <cellStyle name="40% - Accent2 5" xfId="1044"/>
    <cellStyle name="40% - Accent3 2" xfId="148"/>
    <cellStyle name="40% - Accent3 2 2" xfId="1045"/>
    <cellStyle name="40% - Accent3 2 2 2" xfId="1046"/>
    <cellStyle name="40% - Accent3 2 3" xfId="1047"/>
    <cellStyle name="40% - Accent3 3" xfId="149"/>
    <cellStyle name="40% - Accent3 3 2" xfId="1048"/>
    <cellStyle name="40% - Accent3 4" xfId="1049"/>
    <cellStyle name="40% - Accent3 5" xfId="1050"/>
    <cellStyle name="40% - Accent4 2" xfId="150"/>
    <cellStyle name="40% - Accent4 2 2" xfId="1051"/>
    <cellStyle name="40% - Accent4 2 2 2" xfId="1052"/>
    <cellStyle name="40% - Accent4 2 3" xfId="1053"/>
    <cellStyle name="40% - Accent4 3" xfId="151"/>
    <cellStyle name="40% - Accent4 3 2" xfId="1054"/>
    <cellStyle name="40% - Accent4 4" xfId="1055"/>
    <cellStyle name="40% - Accent4 5" xfId="1056"/>
    <cellStyle name="40% - Accent5 2" xfId="152"/>
    <cellStyle name="40% - Accent5 2 2" xfId="1057"/>
    <cellStyle name="40% - Accent5 2 2 2" xfId="1058"/>
    <cellStyle name="40% - Accent5 2 3" xfId="1059"/>
    <cellStyle name="40% - Accent5 3" xfId="153"/>
    <cellStyle name="40% - Accent5 3 2" xfId="1060"/>
    <cellStyle name="40% - Accent5 3 3" xfId="1061"/>
    <cellStyle name="40% - Accent5 4" xfId="1062"/>
    <cellStyle name="40% - Accent5 5" xfId="1063"/>
    <cellStyle name="40% - Accent6 2" xfId="154"/>
    <cellStyle name="40% - Accent6 2 2" xfId="1064"/>
    <cellStyle name="40% - Accent6 2 2 2" xfId="1065"/>
    <cellStyle name="40% - Accent6 2 3" xfId="1066"/>
    <cellStyle name="40% - Accent6 3" xfId="155"/>
    <cellStyle name="40% - Accent6 3 2" xfId="1067"/>
    <cellStyle name="40% - Accent6 4" xfId="1068"/>
    <cellStyle name="40% - Accent6 5" xfId="1069"/>
    <cellStyle name="60% - Accent1 2" xfId="156"/>
    <cellStyle name="60% - Accent1 3" xfId="157"/>
    <cellStyle name="60% - Accent1 4" xfId="1070"/>
    <cellStyle name="60% - Accent2 2" xfId="158"/>
    <cellStyle name="60% - Accent2 3" xfId="159"/>
    <cellStyle name="60% - Accent2 4" xfId="1071"/>
    <cellStyle name="60% - Accent3 2" xfId="160"/>
    <cellStyle name="60% - Accent3 3" xfId="161"/>
    <cellStyle name="60% - Accent3 4" xfId="1072"/>
    <cellStyle name="60% - Accent4 2" xfId="162"/>
    <cellStyle name="60% - Accent4 3" xfId="163"/>
    <cellStyle name="60% - Accent4 4" xfId="1073"/>
    <cellStyle name="60% - Accent5 2" xfId="164"/>
    <cellStyle name="60% - Accent5 3" xfId="165"/>
    <cellStyle name="60% - Accent5 4" xfId="1074"/>
    <cellStyle name="60% - Accent6 2" xfId="166"/>
    <cellStyle name="60% - Accent6 3" xfId="167"/>
    <cellStyle name="60% - Accent6 4" xfId="1075"/>
    <cellStyle name="Accent1 2" xfId="168"/>
    <cellStyle name="Accent1 3" xfId="169"/>
    <cellStyle name="Accent1 4" xfId="1076"/>
    <cellStyle name="Accent2 2" xfId="170"/>
    <cellStyle name="Accent2 3" xfId="171"/>
    <cellStyle name="Accent2 4" xfId="1077"/>
    <cellStyle name="Accent3 2" xfId="172"/>
    <cellStyle name="Accent3 3" xfId="173"/>
    <cellStyle name="Accent3 4" xfId="1078"/>
    <cellStyle name="Accent4 2" xfId="174"/>
    <cellStyle name="Accent4 3" xfId="175"/>
    <cellStyle name="Accent4 4" xfId="1079"/>
    <cellStyle name="Accent5 2" xfId="176"/>
    <cellStyle name="Accent5 3" xfId="177"/>
    <cellStyle name="Accent5 4" xfId="1080"/>
    <cellStyle name="Accent6 2" xfId="178"/>
    <cellStyle name="Accent6 3" xfId="179"/>
    <cellStyle name="Accent6 4" xfId="1081"/>
    <cellStyle name="AMN" xfId="180"/>
    <cellStyle name="AMN 2" xfId="181"/>
    <cellStyle name="AMN 2 2" xfId="182"/>
    <cellStyle name="AMN 3" xfId="183"/>
    <cellStyle name="AMN 4" xfId="184"/>
    <cellStyle name="Bad 2" xfId="185"/>
    <cellStyle name="Bad 2 2" xfId="186"/>
    <cellStyle name="Bad 3" xfId="187"/>
    <cellStyle name="Bad 4" xfId="1082"/>
    <cellStyle name="Bridget" xfId="188"/>
    <cellStyle name="Bridget 2" xfId="189"/>
    <cellStyle name="Bridget 2 2" xfId="190"/>
    <cellStyle name="Calculation 2" xfId="191"/>
    <cellStyle name="Calculation 2 2" xfId="192"/>
    <cellStyle name="Calculation 2 2 2" xfId="825"/>
    <cellStyle name="Calculation 2 2 3" xfId="826"/>
    <cellStyle name="Calculation 2 3" xfId="193"/>
    <cellStyle name="Calculation 2 3 2" xfId="827"/>
    <cellStyle name="Calculation 2 3 3" xfId="828"/>
    <cellStyle name="Calculation 2 4" xfId="829"/>
    <cellStyle name="Calculation 2 5" xfId="830"/>
    <cellStyle name="Calculation 3" xfId="194"/>
    <cellStyle name="Calculation 3 2" xfId="831"/>
    <cellStyle name="Calculation 3 3" xfId="832"/>
    <cellStyle name="Calculation 4" xfId="1083"/>
    <cellStyle name="Check Cell 2" xfId="195"/>
    <cellStyle name="Check Cell 3" xfId="196"/>
    <cellStyle name="Check Cell 4" xfId="1084"/>
    <cellStyle name="Comma" xfId="1002" builtinId="3"/>
    <cellStyle name="Comma  - Style1" xfId="197"/>
    <cellStyle name="Comma (0)" xfId="198"/>
    <cellStyle name="Comma [1]" xfId="199"/>
    <cellStyle name="Comma [1] 2" xfId="200"/>
    <cellStyle name="Comma [1] 3" xfId="201"/>
    <cellStyle name="Comma [2]" xfId="202"/>
    <cellStyle name="Comma [3]" xfId="203"/>
    <cellStyle name="Comma [3] 2" xfId="204"/>
    <cellStyle name="Comma [4]" xfId="205"/>
    <cellStyle name="Comma [4] 2" xfId="206"/>
    <cellStyle name="Comma [6]" xfId="207"/>
    <cellStyle name="Comma [6] 2" xfId="208"/>
    <cellStyle name="Comma 10" xfId="209"/>
    <cellStyle name="Comma 10 2" xfId="210"/>
    <cellStyle name="Comma 100" xfId="833"/>
    <cellStyle name="Comma 100 2" xfId="834"/>
    <cellStyle name="Comma 101" xfId="835"/>
    <cellStyle name="Comma 101 2" xfId="836"/>
    <cellStyle name="Comma 102" xfId="837"/>
    <cellStyle name="Comma 102 2" xfId="838"/>
    <cellStyle name="Comma 103" xfId="839"/>
    <cellStyle name="Comma 103 2" xfId="840"/>
    <cellStyle name="Comma 104" xfId="841"/>
    <cellStyle name="Comma 105" xfId="842"/>
    <cellStyle name="Comma 106" xfId="843"/>
    <cellStyle name="Comma 107" xfId="844"/>
    <cellStyle name="Comma 11" xfId="211"/>
    <cellStyle name="Comma 11 2" xfId="212"/>
    <cellStyle name="Comma 12" xfId="213"/>
    <cellStyle name="Comma 12 2" xfId="214"/>
    <cellStyle name="Comma 13" xfId="215"/>
    <cellStyle name="Comma 13 2" xfId="216"/>
    <cellStyle name="Comma 14" xfId="217"/>
    <cellStyle name="Comma 14 2" xfId="218"/>
    <cellStyle name="Comma 15" xfId="219"/>
    <cellStyle name="Comma 15 2" xfId="220"/>
    <cellStyle name="Comma 16" xfId="221"/>
    <cellStyle name="Comma 16 2" xfId="222"/>
    <cellStyle name="Comma 17" xfId="223"/>
    <cellStyle name="Comma 17 2" xfId="224"/>
    <cellStyle name="Comma 18" xfId="225"/>
    <cellStyle name="Comma 18 2" xfId="226"/>
    <cellStyle name="Comma 19" xfId="227"/>
    <cellStyle name="Comma 19 2" xfId="228"/>
    <cellStyle name="Comma 2" xfId="229"/>
    <cellStyle name="Comma 2 2" xfId="230"/>
    <cellStyle name="Comma 2 2 2" xfId="231"/>
    <cellStyle name="Comma 2 2 3" xfId="232"/>
    <cellStyle name="Comma 2 2 4" xfId="233"/>
    <cellStyle name="Comma 2 2 5" xfId="234"/>
    <cellStyle name="Comma 2 2 6" xfId="235"/>
    <cellStyle name="Comma 2 2 7" xfId="236"/>
    <cellStyle name="Comma 2 3" xfId="237"/>
    <cellStyle name="Comma 2 4" xfId="238"/>
    <cellStyle name="Comma 2 4 2" xfId="239"/>
    <cellStyle name="Comma 2 5" xfId="845"/>
    <cellStyle name="Comma 2 6" xfId="846"/>
    <cellStyle name="Comma 2 7" xfId="1000"/>
    <cellStyle name="Comma 2 8" xfId="1085"/>
    <cellStyle name="Comma 2 9" xfId="1086"/>
    <cellStyle name="Comma 2 9 2" xfId="1087"/>
    <cellStyle name="Comma 20" xfId="240"/>
    <cellStyle name="Comma 20 2" xfId="241"/>
    <cellStyle name="Comma 21" xfId="242"/>
    <cellStyle name="Comma 21 2" xfId="243"/>
    <cellStyle name="Comma 22" xfId="244"/>
    <cellStyle name="Comma 22 2" xfId="245"/>
    <cellStyle name="Comma 23" xfId="246"/>
    <cellStyle name="Comma 23 2" xfId="247"/>
    <cellStyle name="Comma 24" xfId="248"/>
    <cellStyle name="Comma 25" xfId="249"/>
    <cellStyle name="Comma 26" xfId="250"/>
    <cellStyle name="Comma 27" xfId="251"/>
    <cellStyle name="Comma 28" xfId="252"/>
    <cellStyle name="Comma 29" xfId="253"/>
    <cellStyle name="Comma 3" xfId="254"/>
    <cellStyle name="Comma 3 2" xfId="255"/>
    <cellStyle name="Comma 3 2 2" xfId="256"/>
    <cellStyle name="Comma 3 3" xfId="1088"/>
    <cellStyle name="Comma 3 3 2 2" xfId="257"/>
    <cellStyle name="Comma 3 4" xfId="1089"/>
    <cellStyle name="Comma 3 5" xfId="1090"/>
    <cellStyle name="Comma 3 6" xfId="1091"/>
    <cellStyle name="Comma 3 7" xfId="1092"/>
    <cellStyle name="Comma 3 8" xfId="1093"/>
    <cellStyle name="Comma 30" xfId="258"/>
    <cellStyle name="Comma 31" xfId="259"/>
    <cellStyle name="Comma 32" xfId="260"/>
    <cellStyle name="Comma 33" xfId="261"/>
    <cellStyle name="Comma 34" xfId="262"/>
    <cellStyle name="Comma 35" xfId="263"/>
    <cellStyle name="Comma 36" xfId="264"/>
    <cellStyle name="Comma 37" xfId="265"/>
    <cellStyle name="Comma 38" xfId="266"/>
    <cellStyle name="Comma 39" xfId="267"/>
    <cellStyle name="Comma 4" xfId="268"/>
    <cellStyle name="Comma 4 2" xfId="269"/>
    <cellStyle name="Comma 4 2 2" xfId="270"/>
    <cellStyle name="Comma 4 2 2 2" xfId="1094"/>
    <cellStyle name="Comma 4 2 3" xfId="1095"/>
    <cellStyle name="Comma 4 3" xfId="271"/>
    <cellStyle name="Comma 4 3 2" xfId="1096"/>
    <cellStyle name="Comma 4 4" xfId="272"/>
    <cellStyle name="Comma 4 5" xfId="273"/>
    <cellStyle name="Comma 4 6" xfId="274"/>
    <cellStyle name="Comma 4 7" xfId="275"/>
    <cellStyle name="Comma 40" xfId="276"/>
    <cellStyle name="Comma 41" xfId="277"/>
    <cellStyle name="Comma 42" xfId="278"/>
    <cellStyle name="Comma 43" xfId="279"/>
    <cellStyle name="Comma 44" xfId="280"/>
    <cellStyle name="Comma 45" xfId="281"/>
    <cellStyle name="Comma 46" xfId="282"/>
    <cellStyle name="Comma 47" xfId="283"/>
    <cellStyle name="Comma 47 2" xfId="284"/>
    <cellStyle name="Comma 48" xfId="285"/>
    <cellStyle name="Comma 48 2" xfId="286"/>
    <cellStyle name="Comma 49" xfId="287"/>
    <cellStyle name="Comma 49 2" xfId="288"/>
    <cellStyle name="Comma 5" xfId="289"/>
    <cellStyle name="Comma 5 2" xfId="290"/>
    <cellStyle name="Comma 5 3" xfId="291"/>
    <cellStyle name="Comma 50" xfId="292"/>
    <cellStyle name="Comma 51" xfId="293"/>
    <cellStyle name="Comma 51 2" xfId="847"/>
    <cellStyle name="Comma 52" xfId="294"/>
    <cellStyle name="Comma 53" xfId="295"/>
    <cellStyle name="Comma 54" xfId="296"/>
    <cellStyle name="Comma 55" xfId="297"/>
    <cellStyle name="Comma 56" xfId="298"/>
    <cellStyle name="Comma 57" xfId="299"/>
    <cellStyle name="Comma 58" xfId="300"/>
    <cellStyle name="Comma 59" xfId="301"/>
    <cellStyle name="Comma 6" xfId="302"/>
    <cellStyle name="Comma 6 2" xfId="303"/>
    <cellStyle name="Comma 6 3" xfId="304"/>
    <cellStyle name="Comma 60" xfId="305"/>
    <cellStyle name="Comma 61" xfId="306"/>
    <cellStyle name="Comma 62" xfId="307"/>
    <cellStyle name="Comma 63" xfId="308"/>
    <cellStyle name="Comma 64" xfId="309"/>
    <cellStyle name="Comma 65" xfId="310"/>
    <cellStyle name="Comma 66" xfId="311"/>
    <cellStyle name="Comma 67" xfId="312"/>
    <cellStyle name="Comma 68" xfId="313"/>
    <cellStyle name="Comma 69" xfId="314"/>
    <cellStyle name="Comma 7" xfId="315"/>
    <cellStyle name="Comma 70" xfId="316"/>
    <cellStyle name="Comma 71" xfId="317"/>
    <cellStyle name="Comma 72" xfId="318"/>
    <cellStyle name="Comma 73" xfId="319"/>
    <cellStyle name="Comma 74" xfId="320"/>
    <cellStyle name="Comma 75" xfId="321"/>
    <cellStyle name="Comma 76" xfId="322"/>
    <cellStyle name="Comma 77" xfId="323"/>
    <cellStyle name="Comma 78" xfId="324"/>
    <cellStyle name="Comma 79" xfId="325"/>
    <cellStyle name="Comma 8" xfId="326"/>
    <cellStyle name="Comma 8 2" xfId="327"/>
    <cellStyle name="Comma 80" xfId="328"/>
    <cellStyle name="Comma 81" xfId="329"/>
    <cellStyle name="Comma 82" xfId="330"/>
    <cellStyle name="Comma 83" xfId="331"/>
    <cellStyle name="Comma 84" xfId="332"/>
    <cellStyle name="Comma 85" xfId="333"/>
    <cellStyle name="Comma 86" xfId="334"/>
    <cellStyle name="Comma 87" xfId="335"/>
    <cellStyle name="Comma 88" xfId="336"/>
    <cellStyle name="Comma 89" xfId="337"/>
    <cellStyle name="Comma 9" xfId="338"/>
    <cellStyle name="Comma 9 2" xfId="339"/>
    <cellStyle name="Comma 90" xfId="340"/>
    <cellStyle name="Comma 91" xfId="341"/>
    <cellStyle name="Comma 92" xfId="342"/>
    <cellStyle name="Comma 93" xfId="343"/>
    <cellStyle name="Comma 94" xfId="344"/>
    <cellStyle name="Comma 95" xfId="345"/>
    <cellStyle name="Comma 96" xfId="346"/>
    <cellStyle name="Comma 97" xfId="347"/>
    <cellStyle name="Comma 98" xfId="848"/>
    <cellStyle name="Comma 98 2" xfId="849"/>
    <cellStyle name="Comma 99" xfId="850"/>
    <cellStyle name="Comma 99 2" xfId="851"/>
    <cellStyle name="Comma[1]" xfId="348"/>
    <cellStyle name="Comma[1] 2" xfId="349"/>
    <cellStyle name="Comma[3]" xfId="350"/>
    <cellStyle name="Comma[3] 2" xfId="351"/>
    <cellStyle name="Comma[4]" xfId="352"/>
    <cellStyle name="Comma[4] 2" xfId="353"/>
    <cellStyle name="Comma0" xfId="354"/>
    <cellStyle name="Comma0 2" xfId="355"/>
    <cellStyle name="Comma0 3" xfId="356"/>
    <cellStyle name="CompanyNum" xfId="357"/>
    <cellStyle name="Control" xfId="1097"/>
    <cellStyle name="Curren - Style3" xfId="358"/>
    <cellStyle name="Curren - Style4" xfId="359"/>
    <cellStyle name="Currency" xfId="1003" builtinId="4"/>
    <cellStyle name="Currency 2" xfId="360"/>
    <cellStyle name="Currency 2 2" xfId="361"/>
    <cellStyle name="Currency 2 2 2" xfId="852"/>
    <cellStyle name="Currency 2 3" xfId="853"/>
    <cellStyle name="Currency 2 3 2" xfId="854"/>
    <cellStyle name="Currency 2 4" xfId="855"/>
    <cellStyle name="Currency 2 5" xfId="1098"/>
    <cellStyle name="Currency 2 6" xfId="1099"/>
    <cellStyle name="Currency 2 7" xfId="1100"/>
    <cellStyle name="Currency 2 8" xfId="1101"/>
    <cellStyle name="Currency 3" xfId="362"/>
    <cellStyle name="Currency 3 2" xfId="1102"/>
    <cellStyle name="Currency 3 3" xfId="1103"/>
    <cellStyle name="Currency 3 4" xfId="1104"/>
    <cellStyle name="Currency 3 5" xfId="1105"/>
    <cellStyle name="Currency 3 6" xfId="1106"/>
    <cellStyle name="Currency 3 7" xfId="1107"/>
    <cellStyle name="Currency 3 8" xfId="1108"/>
    <cellStyle name="Currency 4" xfId="363"/>
    <cellStyle name="Currency 5" xfId="364"/>
    <cellStyle name="Currency 6" xfId="365"/>
    <cellStyle name="Currency[2]" xfId="366"/>
    <cellStyle name="Currency0" xfId="367"/>
    <cellStyle name="Currency0 2" xfId="368"/>
    <cellStyle name="Currency0 3" xfId="369"/>
    <cellStyle name="Date" xfId="370"/>
    <cellStyle name="Date 2" xfId="371"/>
    <cellStyle name="Euro" xfId="372"/>
    <cellStyle name="Euro 2" xfId="373"/>
    <cellStyle name="Euro 3" xfId="374"/>
    <cellStyle name="Explanatory Text 2" xfId="375"/>
    <cellStyle name="Explanatory Text 3" xfId="376"/>
    <cellStyle name="Explanatory Text 4" xfId="1109"/>
    <cellStyle name="Fixed" xfId="377"/>
    <cellStyle name="Fixed 2" xfId="378"/>
    <cellStyle name="Fixed 3" xfId="379"/>
    <cellStyle name="Formula (,)" xfId="380"/>
    <cellStyle name="Formula (,) 2" xfId="381"/>
    <cellStyle name="Formula (,0)" xfId="382"/>
    <cellStyle name="Formula (,0) 2" xfId="383"/>
    <cellStyle name="Good 2" xfId="384"/>
    <cellStyle name="Good 2 2" xfId="385"/>
    <cellStyle name="Good 3" xfId="386"/>
    <cellStyle name="Good 4" xfId="1110"/>
    <cellStyle name="Grey" xfId="387"/>
    <cellStyle name="Grey 2" xfId="388"/>
    <cellStyle name="Grey 3" xfId="389"/>
    <cellStyle name="Heading 1 2" xfId="390"/>
    <cellStyle name="Heading 1 2 2" xfId="391"/>
    <cellStyle name="Heading 1 3" xfId="392"/>
    <cellStyle name="Heading 1 3 2" xfId="393"/>
    <cellStyle name="Heading 1 4" xfId="1111"/>
    <cellStyle name="Heading 2 2" xfId="394"/>
    <cellStyle name="Heading 2 2 2" xfId="395"/>
    <cellStyle name="Heading 2 3" xfId="396"/>
    <cellStyle name="Heading 2 3 2" xfId="397"/>
    <cellStyle name="Heading 2 4" xfId="1112"/>
    <cellStyle name="Heading 3 2" xfId="398"/>
    <cellStyle name="Heading 3 3" xfId="399"/>
    <cellStyle name="Heading 3 4" xfId="1113"/>
    <cellStyle name="Heading 4 2" xfId="400"/>
    <cellStyle name="Heading 4 3" xfId="401"/>
    <cellStyle name="Heading 4 4" xfId="1114"/>
    <cellStyle name="Hyperlink" xfId="1174" builtinId="8"/>
    <cellStyle name="Hyperlink 2" xfId="402"/>
    <cellStyle name="Hyperlink 3" xfId="403"/>
    <cellStyle name="Input [yellow]" xfId="404"/>
    <cellStyle name="Input [yellow] 2" xfId="405"/>
    <cellStyle name="Input [yellow] 2 2" xfId="856"/>
    <cellStyle name="Input [yellow] 2 2 2" xfId="857"/>
    <cellStyle name="Input [yellow] 2 3" xfId="858"/>
    <cellStyle name="Input [yellow] 3" xfId="406"/>
    <cellStyle name="Input [yellow] 3 2" xfId="859"/>
    <cellStyle name="Input [yellow] 3 2 2" xfId="860"/>
    <cellStyle name="Input [yellow] 3 3" xfId="861"/>
    <cellStyle name="Input [yellow] 4" xfId="862"/>
    <cellStyle name="Input [yellow] 4 2" xfId="863"/>
    <cellStyle name="Input [yellow] 5" xfId="864"/>
    <cellStyle name="Input 2" xfId="407"/>
    <cellStyle name="Input 2 2" xfId="408"/>
    <cellStyle name="Input 2 2 2" xfId="865"/>
    <cellStyle name="Input 2 2 3" xfId="866"/>
    <cellStyle name="Input 2 3" xfId="409"/>
    <cellStyle name="Input 2 3 2" xfId="867"/>
    <cellStyle name="Input 2 3 3" xfId="868"/>
    <cellStyle name="Input 2 4" xfId="869"/>
    <cellStyle name="Input 2 5" xfId="870"/>
    <cellStyle name="Input 3" xfId="410"/>
    <cellStyle name="Input 3 2" xfId="411"/>
    <cellStyle name="Input 3 2 2" xfId="871"/>
    <cellStyle name="Input 3 2 3" xfId="872"/>
    <cellStyle name="Input 3 3" xfId="412"/>
    <cellStyle name="Input 3 3 2" xfId="873"/>
    <cellStyle name="Input 3 3 3" xfId="874"/>
    <cellStyle name="Input 3 4" xfId="875"/>
    <cellStyle name="Input 3 5" xfId="876"/>
    <cellStyle name="Input 4" xfId="1115"/>
    <cellStyle name="Link" xfId="1116"/>
    <cellStyle name="Linked Cell 2" xfId="413"/>
    <cellStyle name="Linked Cell 3" xfId="414"/>
    <cellStyle name="Linked Cell 4" xfId="1117"/>
    <cellStyle name="Locked" xfId="415"/>
    <cellStyle name="Locked 2" xfId="416"/>
    <cellStyle name="Locked 2 2" xfId="417"/>
    <cellStyle name="Locked 3" xfId="418"/>
    <cellStyle name="Locked 4" xfId="419"/>
    <cellStyle name="macroname" xfId="420"/>
    <cellStyle name="macroname 2" xfId="421"/>
    <cellStyle name="macroname 3" xfId="422"/>
    <cellStyle name="Main Heading" xfId="423"/>
    <cellStyle name="Milliers [0]_Global Purchase" xfId="424"/>
    <cellStyle name="Milliers_Global Purchase" xfId="425"/>
    <cellStyle name="Monétaire [0]_Global Purchase" xfId="426"/>
    <cellStyle name="Monétaire_Global Purchase" xfId="427"/>
    <cellStyle name="Month" xfId="428"/>
    <cellStyle name="Month 2" xfId="429"/>
    <cellStyle name="Neutral 2" xfId="430"/>
    <cellStyle name="Neutral 3" xfId="431"/>
    <cellStyle name="Neutral 4" xfId="1118"/>
    <cellStyle name="Normal" xfId="0" builtinId="0"/>
    <cellStyle name="Normal - Style1" xfId="432"/>
    <cellStyle name="Normal - Style5" xfId="433"/>
    <cellStyle name="Normal - Style6" xfId="434"/>
    <cellStyle name="Normal 10" xfId="435"/>
    <cellStyle name="Normal 10 2" xfId="436"/>
    <cellStyle name="Normal 10 2 2" xfId="437"/>
    <cellStyle name="Normal 100" xfId="438"/>
    <cellStyle name="Normal 101" xfId="439"/>
    <cellStyle name="Normal 102" xfId="440"/>
    <cellStyle name="Normal 103" xfId="816"/>
    <cellStyle name="Normal 103 2" xfId="877"/>
    <cellStyle name="Normal 103 2 2" xfId="878"/>
    <cellStyle name="Normal 104" xfId="813"/>
    <cellStyle name="Normal 104 2" xfId="817"/>
    <cellStyle name="Normal 105" xfId="879"/>
    <cellStyle name="Normal 105 2" xfId="819"/>
    <cellStyle name="Normal 106" xfId="880"/>
    <cellStyle name="Normal 106 2" xfId="881"/>
    <cellStyle name="Normal 107" xfId="882"/>
    <cellStyle name="Normal 107 2" xfId="883"/>
    <cellStyle name="Normal 108" xfId="884"/>
    <cellStyle name="Normal 108 2" xfId="822"/>
    <cellStyle name="Normal 109" xfId="885"/>
    <cellStyle name="Normal 109 2" xfId="821"/>
    <cellStyle name="Normal 11" xfId="441"/>
    <cellStyle name="Normal 11 2" xfId="442"/>
    <cellStyle name="Normal 11 3" xfId="886"/>
    <cellStyle name="Normal 110" xfId="887"/>
    <cellStyle name="Normal 110 2" xfId="823"/>
    <cellStyle name="Normal 111" xfId="888"/>
    <cellStyle name="Normal 112" xfId="889"/>
    <cellStyle name="Normal 113" xfId="890"/>
    <cellStyle name="Normal 12" xfId="443"/>
    <cellStyle name="Normal 12 2" xfId="444"/>
    <cellStyle name="Normal 13" xfId="445"/>
    <cellStyle name="Normal 13 2" xfId="446"/>
    <cellStyle name="Normal 13 3" xfId="891"/>
    <cellStyle name="Normal 14" xfId="447"/>
    <cellStyle name="Normal 14 2" xfId="448"/>
    <cellStyle name="Normal 14 3" xfId="892"/>
    <cellStyle name="Normal 15" xfId="449"/>
    <cellStyle name="Normal 15 2" xfId="450"/>
    <cellStyle name="Normal 16" xfId="451"/>
    <cellStyle name="Normal 16 2" xfId="452"/>
    <cellStyle name="Normal 17" xfId="453"/>
    <cellStyle name="Normal 17 2" xfId="454"/>
    <cellStyle name="Normal 18" xfId="455"/>
    <cellStyle name="Normal 18 2" xfId="456"/>
    <cellStyle name="Normal 19" xfId="457"/>
    <cellStyle name="Normal 19 2" xfId="458"/>
    <cellStyle name="Normal 2" xfId="459"/>
    <cellStyle name="Normal 2 10" xfId="460"/>
    <cellStyle name="Normal 2 10 2" xfId="893"/>
    <cellStyle name="Normal 2 11" xfId="461"/>
    <cellStyle name="Normal 2 11 2" xfId="894"/>
    <cellStyle name="Normal 2 12" xfId="462"/>
    <cellStyle name="Normal 2 12 2" xfId="895"/>
    <cellStyle name="Normal 2 13" xfId="463"/>
    <cellStyle name="Normal 2 13 2" xfId="896"/>
    <cellStyle name="Normal 2 14" xfId="464"/>
    <cellStyle name="Normal 2 14 2" xfId="465"/>
    <cellStyle name="Normal 2 15" xfId="466"/>
    <cellStyle name="Normal 2 16" xfId="897"/>
    <cellStyle name="Normal 2 17" xfId="999"/>
    <cellStyle name="Normal 2 2" xfId="467"/>
    <cellStyle name="Normal 2 2 2" xfId="468"/>
    <cellStyle name="Normal 2 2 2 2" xfId="469"/>
    <cellStyle name="Normal 2 3" xfId="470"/>
    <cellStyle name="Normal 2 3 2" xfId="898"/>
    <cellStyle name="Normal 2 4" xfId="471"/>
    <cellStyle name="Normal 2 4 2" xfId="899"/>
    <cellStyle name="Normal 2 5" xfId="472"/>
    <cellStyle name="Normal 2 5 2" xfId="900"/>
    <cellStyle name="Normal 2 6" xfId="473"/>
    <cellStyle name="Normal 2 6 2" xfId="901"/>
    <cellStyle name="Normal 2 7" xfId="474"/>
    <cellStyle name="Normal 2 7 2" xfId="902"/>
    <cellStyle name="Normal 2 8" xfId="475"/>
    <cellStyle name="Normal 2 8 2" xfId="903"/>
    <cellStyle name="Normal 2 9" xfId="476"/>
    <cellStyle name="Normal 2 9 2" xfId="904"/>
    <cellStyle name="Normal 2_MinePlan_Blair_Athol_2009LOM 20090930_Option4 (Calendar Chgd)" xfId="477"/>
    <cellStyle name="Normal 20" xfId="478"/>
    <cellStyle name="Normal 20 2" xfId="479"/>
    <cellStyle name="Normal 21" xfId="480"/>
    <cellStyle name="Normal 21 2" xfId="481"/>
    <cellStyle name="Normal 22" xfId="482"/>
    <cellStyle name="Normal 22 2" xfId="483"/>
    <cellStyle name="Normal 23" xfId="484"/>
    <cellStyle name="Normal 23 2" xfId="485"/>
    <cellStyle name="Normal 24" xfId="486"/>
    <cellStyle name="Normal 24 2" xfId="487"/>
    <cellStyle name="Normal 25" xfId="488"/>
    <cellStyle name="Normal 25 2" xfId="489"/>
    <cellStyle name="Normal 26" xfId="490"/>
    <cellStyle name="Normal 27" xfId="491"/>
    <cellStyle name="Normal 28" xfId="492"/>
    <cellStyle name="Normal 29" xfId="493"/>
    <cellStyle name="Normal 3" xfId="494"/>
    <cellStyle name="Normal 3 2" xfId="495"/>
    <cellStyle name="Normal 3 2 2" xfId="496"/>
    <cellStyle name="Normal 3 2 2 2" xfId="497"/>
    <cellStyle name="Normal 3 3" xfId="498"/>
    <cellStyle name="Normal 3 3 2" xfId="905"/>
    <cellStyle name="Normal 30" xfId="499"/>
    <cellStyle name="Normal 31" xfId="500"/>
    <cellStyle name="Normal 31 2" xfId="1119"/>
    <cellStyle name="Normal 31 2 2" xfId="1120"/>
    <cellStyle name="Normal 31 3" xfId="1121"/>
    <cellStyle name="Normal 32" xfId="501"/>
    <cellStyle name="Normal 32 2" xfId="1122"/>
    <cellStyle name="Normal 32 2 2" xfId="1123"/>
    <cellStyle name="Normal 32 3" xfId="1124"/>
    <cellStyle name="Normal 33" xfId="502"/>
    <cellStyle name="Normal 33 2" xfId="1125"/>
    <cellStyle name="Normal 33 2 2" xfId="1126"/>
    <cellStyle name="Normal 33 3" xfId="1127"/>
    <cellStyle name="Normal 34" xfId="503"/>
    <cellStyle name="Normal 34 2" xfId="1128"/>
    <cellStyle name="Normal 34 2 2" xfId="1129"/>
    <cellStyle name="Normal 34 3" xfId="1130"/>
    <cellStyle name="Normal 35" xfId="504"/>
    <cellStyle name="Normal 35 2" xfId="1131"/>
    <cellStyle name="Normal 35 2 2" xfId="1132"/>
    <cellStyle name="Normal 35 3" xfId="1133"/>
    <cellStyle name="Normal 36" xfId="505"/>
    <cellStyle name="Normal 36 2" xfId="1134"/>
    <cellStyle name="Normal 36 2 2" xfId="1135"/>
    <cellStyle name="Normal 36 3" xfId="1136"/>
    <cellStyle name="Normal 37" xfId="506"/>
    <cellStyle name="Normal 37 2" xfId="1137"/>
    <cellStyle name="Normal 38" xfId="507"/>
    <cellStyle name="Normal 38 2" xfId="1138"/>
    <cellStyle name="Normal 39" xfId="508"/>
    <cellStyle name="Normal 4" xfId="509"/>
    <cellStyle name="Normal 4 2" xfId="510"/>
    <cellStyle name="Normal 4 2 2" xfId="906"/>
    <cellStyle name="Normal 4 3" xfId="511"/>
    <cellStyle name="Normal 4 3 2" xfId="907"/>
    <cellStyle name="Normal 4 4" xfId="512"/>
    <cellStyle name="Normal 4 5" xfId="908"/>
    <cellStyle name="Normal 4 5 2" xfId="909"/>
    <cellStyle name="Normal 4 6" xfId="910"/>
    <cellStyle name="Normal 40" xfId="513"/>
    <cellStyle name="Normal 41" xfId="514"/>
    <cellStyle name="Normal 41 2" xfId="1139"/>
    <cellStyle name="Normal 42" xfId="515"/>
    <cellStyle name="Normal 42 2" xfId="1140"/>
    <cellStyle name="Normal 43" xfId="516"/>
    <cellStyle name="Normal 43 2" xfId="1141"/>
    <cellStyle name="Normal 43 3" xfId="1142"/>
    <cellStyle name="Normal 44" xfId="517"/>
    <cellStyle name="Normal 44 2" xfId="1143"/>
    <cellStyle name="Normal 45" xfId="518"/>
    <cellStyle name="Normal 45 2" xfId="1144"/>
    <cellStyle name="Normal 46" xfId="519"/>
    <cellStyle name="Normal 46 2" xfId="1145"/>
    <cellStyle name="Normal 47" xfId="520"/>
    <cellStyle name="Normal 47 2" xfId="1146"/>
    <cellStyle name="Normal 48" xfId="521"/>
    <cellStyle name="Normal 48 2" xfId="1147"/>
    <cellStyle name="Normal 49" xfId="522"/>
    <cellStyle name="Normal 5" xfId="523"/>
    <cellStyle name="Normal 5 2" xfId="524"/>
    <cellStyle name="Normal 5 2 2" xfId="911"/>
    <cellStyle name="Normal 5 3" xfId="525"/>
    <cellStyle name="Normal 5 4" xfId="912"/>
    <cellStyle name="Normal 50" xfId="526"/>
    <cellStyle name="Normal 51" xfId="527"/>
    <cellStyle name="Normal 52" xfId="528"/>
    <cellStyle name="Normal 53" xfId="529"/>
    <cellStyle name="Normal 54" xfId="530"/>
    <cellStyle name="Normal 55" xfId="531"/>
    <cellStyle name="Normal 56" xfId="532"/>
    <cellStyle name="Normal 57" xfId="533"/>
    <cellStyle name="Normal 58" xfId="534"/>
    <cellStyle name="Normal 59" xfId="535"/>
    <cellStyle name="Normal 6" xfId="536"/>
    <cellStyle name="Normal 6 2" xfId="537"/>
    <cellStyle name="Normal 6 3" xfId="913"/>
    <cellStyle name="Normal 60" xfId="538"/>
    <cellStyle name="Normal 61" xfId="539"/>
    <cellStyle name="Normal 62" xfId="540"/>
    <cellStyle name="Normal 63" xfId="541"/>
    <cellStyle name="Normal 64" xfId="542"/>
    <cellStyle name="Normal 65" xfId="543"/>
    <cellStyle name="Normal 66" xfId="544"/>
    <cellStyle name="Normal 67" xfId="545"/>
    <cellStyle name="Normal 68" xfId="546"/>
    <cellStyle name="Normal 69" xfId="547"/>
    <cellStyle name="Normal 7" xfId="548"/>
    <cellStyle name="Normal 7 2" xfId="549"/>
    <cellStyle name="Normal 7 3" xfId="914"/>
    <cellStyle name="Normal 70" xfId="550"/>
    <cellStyle name="Normal 71" xfId="551"/>
    <cellStyle name="Normal 72" xfId="552"/>
    <cellStyle name="Normal 73" xfId="553"/>
    <cellStyle name="Normal 74" xfId="554"/>
    <cellStyle name="Normal 75" xfId="555"/>
    <cellStyle name="Normal 76" xfId="556"/>
    <cellStyle name="Normal 77" xfId="557"/>
    <cellStyle name="Normal 78" xfId="558"/>
    <cellStyle name="Normal 79" xfId="559"/>
    <cellStyle name="Normal 8" xfId="560"/>
    <cellStyle name="Normal 8 2" xfId="561"/>
    <cellStyle name="Normal 8 2 2" xfId="1148"/>
    <cellStyle name="Normal 8 2 2 2" xfId="1149"/>
    <cellStyle name="Normal 8 2 2 2 2" xfId="1150"/>
    <cellStyle name="Normal 8 2 3" xfId="1151"/>
    <cellStyle name="Normal 8 3" xfId="915"/>
    <cellStyle name="Normal 8 3 2" xfId="1152"/>
    <cellStyle name="Normal 8 4" xfId="1153"/>
    <cellStyle name="Normal 80" xfId="562"/>
    <cellStyle name="Normal 81" xfId="563"/>
    <cellStyle name="Normal 82" xfId="564"/>
    <cellStyle name="Normal 83" xfId="565"/>
    <cellStyle name="Normal 84" xfId="566"/>
    <cellStyle name="Normal 85" xfId="567"/>
    <cellStyle name="Normal 86" xfId="568"/>
    <cellStyle name="Normal 87" xfId="569"/>
    <cellStyle name="Normal 88" xfId="570"/>
    <cellStyle name="Normal 89" xfId="571"/>
    <cellStyle name="Normal 9" xfId="572"/>
    <cellStyle name="Normal 9 2" xfId="573"/>
    <cellStyle name="Normal 90" xfId="574"/>
    <cellStyle name="Normal 91" xfId="575"/>
    <cellStyle name="Normal 92" xfId="576"/>
    <cellStyle name="Normal 93" xfId="577"/>
    <cellStyle name="Normal 94" xfId="578"/>
    <cellStyle name="Normal 95" xfId="579"/>
    <cellStyle name="Normal 96" xfId="580"/>
    <cellStyle name="Normal 97" xfId="581"/>
    <cellStyle name="Normal 98" xfId="582"/>
    <cellStyle name="Normal 99" xfId="583"/>
    <cellStyle name="Note 2" xfId="584"/>
    <cellStyle name="Note 2 2" xfId="585"/>
    <cellStyle name="Note 2 2 2" xfId="586"/>
    <cellStyle name="Note 2 2 2 2" xfId="587"/>
    <cellStyle name="Note 2 2 2 2 2" xfId="916"/>
    <cellStyle name="Note 2 2 2 2 3" xfId="917"/>
    <cellStyle name="Note 2 2 2 3" xfId="918"/>
    <cellStyle name="Note 2 2 2 4" xfId="919"/>
    <cellStyle name="Note 2 2 3" xfId="588"/>
    <cellStyle name="Note 2 2 3 2" xfId="920"/>
    <cellStyle name="Note 2 2 3 3" xfId="921"/>
    <cellStyle name="Note 2 2 4" xfId="922"/>
    <cellStyle name="Note 2 2 5" xfId="923"/>
    <cellStyle name="Note 2 3" xfId="589"/>
    <cellStyle name="Note 2 3 2" xfId="924"/>
    <cellStyle name="Note 2 3 3" xfId="925"/>
    <cellStyle name="Note 2 4" xfId="590"/>
    <cellStyle name="Note 2 4 2" xfId="591"/>
    <cellStyle name="Note 2 4 2 2" xfId="926"/>
    <cellStyle name="Note 2 4 2 3" xfId="927"/>
    <cellStyle name="Note 2 4 3" xfId="592"/>
    <cellStyle name="Note 2 4 3 2" xfId="928"/>
    <cellStyle name="Note 2 4 3 3" xfId="929"/>
    <cellStyle name="Note 2 4 4" xfId="930"/>
    <cellStyle name="Note 2 4 5" xfId="931"/>
    <cellStyle name="Note 2 5" xfId="593"/>
    <cellStyle name="Note 2 5 2" xfId="932"/>
    <cellStyle name="Note 2 5 3" xfId="933"/>
    <cellStyle name="Note 2 6" xfId="934"/>
    <cellStyle name="Note 2 7" xfId="935"/>
    <cellStyle name="Note 3" xfId="594"/>
    <cellStyle name="Note 3 2" xfId="936"/>
    <cellStyle name="Note 3 3" xfId="937"/>
    <cellStyle name="Note 4" xfId="1154"/>
    <cellStyle name="Note 5" xfId="1155"/>
    <cellStyle name="Number Bold" xfId="1156"/>
    <cellStyle name="Number Normal" xfId="1157"/>
    <cellStyle name="Output 2" xfId="595"/>
    <cellStyle name="Output 2 2" xfId="596"/>
    <cellStyle name="Output 2 2 2" xfId="938"/>
    <cellStyle name="Output 2 2 3" xfId="939"/>
    <cellStyle name="Output 2 3" xfId="597"/>
    <cellStyle name="Output 2 3 2" xfId="940"/>
    <cellStyle name="Output 2 3 3" xfId="941"/>
    <cellStyle name="Output 2 4" xfId="942"/>
    <cellStyle name="Output 2 5" xfId="943"/>
    <cellStyle name="Output 3" xfId="598"/>
    <cellStyle name="Output 3 2" xfId="944"/>
    <cellStyle name="Output 3 3" xfId="945"/>
    <cellStyle name="Output 4" xfId="1158"/>
    <cellStyle name="Percent" xfId="1004" builtinId="5"/>
    <cellStyle name="Percent [2]" xfId="599"/>
    <cellStyle name="Percent [2] 2" xfId="600"/>
    <cellStyle name="Percent [4]" xfId="601"/>
    <cellStyle name="Percent [4] 2" xfId="602"/>
    <cellStyle name="Percent 10" xfId="603"/>
    <cellStyle name="Percent 10 2" xfId="604"/>
    <cellStyle name="Percent 100" xfId="815"/>
    <cellStyle name="Percent 100 2" xfId="818"/>
    <cellStyle name="Percent 101" xfId="946"/>
    <cellStyle name="Percent 101 2" xfId="820"/>
    <cellStyle name="Percent 102" xfId="947"/>
    <cellStyle name="Percent 102 2" xfId="824"/>
    <cellStyle name="Percent 103" xfId="948"/>
    <cellStyle name="Percent 103 2" xfId="949"/>
    <cellStyle name="Percent 104" xfId="950"/>
    <cellStyle name="Percent 104 2" xfId="951"/>
    <cellStyle name="Percent 105" xfId="952"/>
    <cellStyle name="Percent 105 2" xfId="953"/>
    <cellStyle name="Percent 106" xfId="954"/>
    <cellStyle name="Percent 106 2" xfId="955"/>
    <cellStyle name="Percent 107" xfId="956"/>
    <cellStyle name="Percent 108" xfId="957"/>
    <cellStyle name="Percent 109" xfId="958"/>
    <cellStyle name="Percent 11" xfId="605"/>
    <cellStyle name="Percent 11 2" xfId="606"/>
    <cellStyle name="Percent 12" xfId="607"/>
    <cellStyle name="Percent 12 2" xfId="608"/>
    <cellStyle name="Percent 13" xfId="609"/>
    <cellStyle name="Percent 13 2" xfId="610"/>
    <cellStyle name="Percent 14" xfId="611"/>
    <cellStyle name="Percent 14 2" xfId="612"/>
    <cellStyle name="Percent 15" xfId="613"/>
    <cellStyle name="Percent 15 2" xfId="614"/>
    <cellStyle name="Percent 16" xfId="615"/>
    <cellStyle name="Percent 16 2" xfId="616"/>
    <cellStyle name="Percent 17" xfId="617"/>
    <cellStyle name="Percent 17 2" xfId="618"/>
    <cellStyle name="Percent 18" xfId="619"/>
    <cellStyle name="Percent 18 2" xfId="620"/>
    <cellStyle name="Percent 19" xfId="621"/>
    <cellStyle name="Percent 19 2" xfId="622"/>
    <cellStyle name="Percent 2" xfId="623"/>
    <cellStyle name="Percent 2 2" xfId="624"/>
    <cellStyle name="Percent 2 2 2" xfId="625"/>
    <cellStyle name="Percent 2 3" xfId="626"/>
    <cellStyle name="Percent 2 3 2" xfId="627"/>
    <cellStyle name="Percent 2 4" xfId="959"/>
    <cellStyle name="Percent 2 5" xfId="960"/>
    <cellStyle name="Percent 2 6" xfId="1001"/>
    <cellStyle name="Percent 2 7" xfId="1159"/>
    <cellStyle name="Percent 2 8" xfId="1160"/>
    <cellStyle name="Percent 20" xfId="628"/>
    <cellStyle name="Percent 20 2" xfId="629"/>
    <cellStyle name="Percent 21" xfId="630"/>
    <cellStyle name="Percent 21 2" xfId="631"/>
    <cellStyle name="Percent 22" xfId="632"/>
    <cellStyle name="Percent 22 2" xfId="633"/>
    <cellStyle name="Percent 23" xfId="634"/>
    <cellStyle name="Percent 23 2" xfId="635"/>
    <cellStyle name="Percent 24" xfId="636"/>
    <cellStyle name="Percent 24 2" xfId="637"/>
    <cellStyle name="Percent 25" xfId="638"/>
    <cellStyle name="Percent 26" xfId="639"/>
    <cellStyle name="Percent 27" xfId="640"/>
    <cellStyle name="Percent 28" xfId="641"/>
    <cellStyle name="Percent 29" xfId="642"/>
    <cellStyle name="Percent 3" xfId="643"/>
    <cellStyle name="Percent 3 2" xfId="644"/>
    <cellStyle name="Percent 3 3" xfId="1161"/>
    <cellStyle name="Percent 3 4" xfId="1162"/>
    <cellStyle name="Percent 3 5" xfId="1163"/>
    <cellStyle name="Percent 3 6" xfId="1164"/>
    <cellStyle name="Percent 3 7" xfId="1165"/>
    <cellStyle name="Percent 3 8" xfId="1166"/>
    <cellStyle name="Percent 30" xfId="645"/>
    <cellStyle name="Percent 31" xfId="646"/>
    <cellStyle name="Percent 32" xfId="647"/>
    <cellStyle name="Percent 33" xfId="648"/>
    <cellStyle name="Percent 34" xfId="649"/>
    <cellStyle name="Percent 35" xfId="650"/>
    <cellStyle name="Percent 36" xfId="651"/>
    <cellStyle name="Percent 37" xfId="652"/>
    <cellStyle name="Percent 38" xfId="653"/>
    <cellStyle name="Percent 39" xfId="654"/>
    <cellStyle name="Percent 4" xfId="655"/>
    <cellStyle name="Percent 4 2" xfId="656"/>
    <cellStyle name="Percent 4 2 2" xfId="961"/>
    <cellStyle name="Percent 4 3" xfId="657"/>
    <cellStyle name="Percent 4 4" xfId="962"/>
    <cellStyle name="Percent 40" xfId="658"/>
    <cellStyle name="Percent 41" xfId="659"/>
    <cellStyle name="Percent 42" xfId="660"/>
    <cellStyle name="Percent 43" xfId="661"/>
    <cellStyle name="Percent 44" xfId="662"/>
    <cellStyle name="Percent 45" xfId="663"/>
    <cellStyle name="Percent 46" xfId="664"/>
    <cellStyle name="Percent 47" xfId="665"/>
    <cellStyle name="Percent 48" xfId="666"/>
    <cellStyle name="Percent 49" xfId="667"/>
    <cellStyle name="Percent 5" xfId="668"/>
    <cellStyle name="Percent 5 2" xfId="669"/>
    <cellStyle name="Percent 5 3" xfId="670"/>
    <cellStyle name="Percent 50" xfId="671"/>
    <cellStyle name="Percent 51" xfId="672"/>
    <cellStyle name="Percent 52" xfId="673"/>
    <cellStyle name="Percent 53" xfId="674"/>
    <cellStyle name="Percent 54" xfId="675"/>
    <cellStyle name="Percent 55" xfId="676"/>
    <cellStyle name="Percent 56" xfId="677"/>
    <cellStyle name="Percent 57" xfId="678"/>
    <cellStyle name="Percent 58" xfId="679"/>
    <cellStyle name="Percent 59" xfId="680"/>
    <cellStyle name="Percent 6" xfId="681"/>
    <cellStyle name="Percent 6 2" xfId="963"/>
    <cellStyle name="Percent 60" xfId="682"/>
    <cellStyle name="Percent 61" xfId="683"/>
    <cellStyle name="Percent 62" xfId="684"/>
    <cellStyle name="Percent 63" xfId="685"/>
    <cellStyle name="Percent 64" xfId="686"/>
    <cellStyle name="Percent 65" xfId="687"/>
    <cellStyle name="Percent 66" xfId="688"/>
    <cellStyle name="Percent 67" xfId="689"/>
    <cellStyle name="Percent 68" xfId="690"/>
    <cellStyle name="Percent 69" xfId="691"/>
    <cellStyle name="Percent 7" xfId="692"/>
    <cellStyle name="Percent 7 2" xfId="693"/>
    <cellStyle name="Percent 7 3" xfId="964"/>
    <cellStyle name="Percent 70" xfId="694"/>
    <cellStyle name="Percent 71" xfId="695"/>
    <cellStyle name="Percent 72" xfId="696"/>
    <cellStyle name="Percent 73" xfId="697"/>
    <cellStyle name="Percent 74" xfId="698"/>
    <cellStyle name="Percent 75" xfId="699"/>
    <cellStyle name="Percent 76" xfId="700"/>
    <cellStyle name="Percent 77" xfId="701"/>
    <cellStyle name="Percent 78" xfId="702"/>
    <cellStyle name="Percent 79" xfId="703"/>
    <cellStyle name="Percent 8" xfId="704"/>
    <cellStyle name="Percent 80" xfId="705"/>
    <cellStyle name="Percent 81" xfId="706"/>
    <cellStyle name="Percent 82" xfId="707"/>
    <cellStyle name="Percent 83" xfId="708"/>
    <cellStyle name="Percent 84" xfId="709"/>
    <cellStyle name="Percent 85" xfId="710"/>
    <cellStyle name="Percent 86" xfId="711"/>
    <cellStyle name="Percent 87" xfId="712"/>
    <cellStyle name="Percent 88" xfId="713"/>
    <cellStyle name="Percent 89" xfId="714"/>
    <cellStyle name="Percent 9" xfId="715"/>
    <cellStyle name="Percent 9 2" xfId="716"/>
    <cellStyle name="Percent 90" xfId="717"/>
    <cellStyle name="Percent 91" xfId="718"/>
    <cellStyle name="Percent 92" xfId="719"/>
    <cellStyle name="Percent 93" xfId="720"/>
    <cellStyle name="Percent 94" xfId="721"/>
    <cellStyle name="Percent 95" xfId="722"/>
    <cellStyle name="Percent 96" xfId="723"/>
    <cellStyle name="Percent 97" xfId="724"/>
    <cellStyle name="Percent 98" xfId="725"/>
    <cellStyle name="Percent 99" xfId="814"/>
    <cellStyle name="Percent 99 2" xfId="965"/>
    <cellStyle name="Percent 99 2 2" xfId="966"/>
    <cellStyle name="pound" xfId="726"/>
    <cellStyle name="pound 2" xfId="727"/>
    <cellStyle name="pound 3" xfId="728"/>
    <cellStyle name="Reporting Bold" xfId="1167"/>
    <cellStyle name="Reporting Bold 12" xfId="1168"/>
    <cellStyle name="Reporting Bold 14" xfId="1169"/>
    <cellStyle name="Reporting Normal" xfId="1170"/>
    <cellStyle name="SAPBEXexcBad7" xfId="729"/>
    <cellStyle name="SAPBEXexcBad7 2" xfId="730"/>
    <cellStyle name="SAPBEXexcBad7 2 2" xfId="967"/>
    <cellStyle name="SAPBEXexcBad7 2 3" xfId="968"/>
    <cellStyle name="SAPBEXexcBad7 3" xfId="969"/>
    <cellStyle name="SAPBEXexcBad7 4" xfId="970"/>
    <cellStyle name="Small Heading" xfId="731"/>
    <cellStyle name="STYL1 - Style1" xfId="732"/>
    <cellStyle name="STYL1 - Style1 2" xfId="733"/>
    <cellStyle name="STYL1 - Style1 2 2" xfId="734"/>
    <cellStyle name="STYL1 - Style1 2 2 2" xfId="971"/>
    <cellStyle name="STYL1 - Style1 2 2 3" xfId="972"/>
    <cellStyle name="STYL1 - Style1 2 3" xfId="973"/>
    <cellStyle name="STYL1 - Style1 2 4" xfId="974"/>
    <cellStyle name="STYL1 - Style1 3" xfId="735"/>
    <cellStyle name="STYL1 - Style1 3 2" xfId="975"/>
    <cellStyle name="STYL1 - Style1 3 3" xfId="976"/>
    <cellStyle name="STYL1 - Style1 4" xfId="977"/>
    <cellStyle name="STYL1 - Style1 5" xfId="978"/>
    <cellStyle name="STYL2 - Style2" xfId="736"/>
    <cellStyle name="STYL2 - Style2 2" xfId="737"/>
    <cellStyle name="STYL2 - Style2 2 2" xfId="738"/>
    <cellStyle name="STYL2 - Style2 2 2 2" xfId="979"/>
    <cellStyle name="STYL2 - Style2 2 2 3" xfId="980"/>
    <cellStyle name="STYL2 - Style2 2 3" xfId="981"/>
    <cellStyle name="STYL2 - Style2 2 4" xfId="982"/>
    <cellStyle name="STYL2 - Style2 3" xfId="739"/>
    <cellStyle name="STYL2 - Style2 3 2" xfId="983"/>
    <cellStyle name="STYL2 - Style2 3 3" xfId="984"/>
    <cellStyle name="STYL2 - Style2 4" xfId="985"/>
    <cellStyle name="STYL2 - Style2 5" xfId="986"/>
    <cellStyle name="Style 1" xfId="740"/>
    <cellStyle name="Style 1 2" xfId="741"/>
    <cellStyle name="Style 1 2 2" xfId="742"/>
    <cellStyle name="Style 1 3" xfId="743"/>
    <cellStyle name="Style 1 4" xfId="744"/>
    <cellStyle name="Style 21" xfId="745"/>
    <cellStyle name="Style 21 2" xfId="746"/>
    <cellStyle name="Style 37" xfId="747"/>
    <cellStyle name="Style 38" xfId="748"/>
    <cellStyle name="Style 38 2" xfId="749"/>
    <cellStyle name="Style 38 2 2" xfId="750"/>
    <cellStyle name="Style 38 3" xfId="751"/>
    <cellStyle name="Style 41" xfId="752"/>
    <cellStyle name="Style 41 2" xfId="753"/>
    <cellStyle name="Style 52" xfId="754"/>
    <cellStyle name="Style 59" xfId="755"/>
    <cellStyle name="Style 59 2" xfId="756"/>
    <cellStyle name="Style 65" xfId="757"/>
    <cellStyle name="Style 68" xfId="758"/>
    <cellStyle name="Style 68 10" xfId="759"/>
    <cellStyle name="Style 68 11" xfId="760"/>
    <cellStyle name="Style 68 12" xfId="761"/>
    <cellStyle name="Style 68 13" xfId="762"/>
    <cellStyle name="Style 68 13 2" xfId="763"/>
    <cellStyle name="Style 68 14" xfId="764"/>
    <cellStyle name="Style 68 2" xfId="765"/>
    <cellStyle name="Style 68 3" xfId="766"/>
    <cellStyle name="Style 68 4" xfId="767"/>
    <cellStyle name="Style 68 5" xfId="768"/>
    <cellStyle name="Style 68 6" xfId="769"/>
    <cellStyle name="Style 68 7" xfId="770"/>
    <cellStyle name="Style 68 8" xfId="771"/>
    <cellStyle name="Style 68 9" xfId="772"/>
    <cellStyle name="Style 69" xfId="773"/>
    <cellStyle name="Style 69 2" xfId="774"/>
    <cellStyle name="Style 70" xfId="775"/>
    <cellStyle name="Style 70 10" xfId="776"/>
    <cellStyle name="Style 70 11" xfId="777"/>
    <cellStyle name="Style 70 12" xfId="778"/>
    <cellStyle name="Style 70 2" xfId="779"/>
    <cellStyle name="Style 70 3" xfId="780"/>
    <cellStyle name="Style 70 4" xfId="781"/>
    <cellStyle name="Style 70 5" xfId="782"/>
    <cellStyle name="Style 70 6" xfId="783"/>
    <cellStyle name="Style 70 7" xfId="784"/>
    <cellStyle name="Style 70 7 2" xfId="785"/>
    <cellStyle name="Style 70 8" xfId="786"/>
    <cellStyle name="Style 70 9" xfId="787"/>
    <cellStyle name="Style 77" xfId="788"/>
    <cellStyle name="Style 77 2" xfId="789"/>
    <cellStyle name="Style 79" xfId="790"/>
    <cellStyle name="Subheader" xfId="791"/>
    <cellStyle name="Subtotal" xfId="792"/>
    <cellStyle name="Subtotal 2" xfId="793"/>
    <cellStyle name="Subtotal 2 2" xfId="794"/>
    <cellStyle name="Subtotal 2 2 2" xfId="987"/>
    <cellStyle name="Subtotal 2 2 3" xfId="988"/>
    <cellStyle name="Subtotal 2 3" xfId="989"/>
    <cellStyle name="Subtotal 2 4" xfId="990"/>
    <cellStyle name="Subtotal 3" xfId="795"/>
    <cellStyle name="Subtotal 3 2" xfId="991"/>
    <cellStyle name="Subtotal 3 3" xfId="992"/>
    <cellStyle name="Subtotal 4" xfId="993"/>
    <cellStyle name="Subtotal 5" xfId="994"/>
    <cellStyle name="Time" xfId="796"/>
    <cellStyle name="Time 2" xfId="797"/>
    <cellStyle name="Title 2" xfId="798"/>
    <cellStyle name="Title 3" xfId="799"/>
    <cellStyle name="Title 4" xfId="1171"/>
    <cellStyle name="Total 2" xfId="800"/>
    <cellStyle name="Total 2 2" xfId="801"/>
    <cellStyle name="Total 2 2 2" xfId="995"/>
    <cellStyle name="Total 2 2 3" xfId="996"/>
    <cellStyle name="Total 3" xfId="802"/>
    <cellStyle name="Total 3 2" xfId="803"/>
    <cellStyle name="Total 3 2 2" xfId="997"/>
    <cellStyle name="Total 3 2 3" xfId="998"/>
    <cellStyle name="Total 4" xfId="1172"/>
    <cellStyle name="Unlocked" xfId="804"/>
    <cellStyle name="Unlocked 2" xfId="805"/>
    <cellStyle name="Unlocked 3" xfId="806"/>
    <cellStyle name="Unlocked 4" xfId="807"/>
    <cellStyle name="Warning Text 2" xfId="808"/>
    <cellStyle name="Warning Text 3" xfId="809"/>
    <cellStyle name="Warning Text 4" xfId="1173"/>
    <cellStyle name="White" xfId="810"/>
    <cellStyle name="White 2" xfId="811"/>
    <cellStyle name="Year" xfId="812"/>
  </cellStyles>
  <dxfs count="7"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 style="thin">
          <color theme="4" tint="0.39994506668294322"/>
        </vertical>
        <horizontal style="thin">
          <color theme="4" tint="0.39997558519241921"/>
        </horizontal>
      </border>
    </dxf>
  </dxfs>
  <tableStyles count="1" defaultTableStyle="TableStyleMedium9" defaultPivotStyle="PivotStyleLight16">
    <tableStyle name="TableStyleMedium2 (Grid)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F7EDA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/>
          <a:lstStyle/>
          <a:p>
            <a:pPr>
              <a:defRPr/>
            </a:pPr>
            <a:r>
              <a:rPr lang="en-AU"/>
              <a:t>Production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'V2-Longitudinal '!$D$6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strRef>
              <c:f>'V2-Longitudinal '!$E$5:$P$5</c:f>
              <c:strCache>
                <c:ptCount val="12"/>
                <c:pt idx="0">
                  <c:v>J</c:v>
                </c:pt>
                <c:pt idx="1">
                  <c:v>A</c:v>
                </c:pt>
                <c:pt idx="2">
                  <c:v>S</c:v>
                </c:pt>
                <c:pt idx="3">
                  <c:v>O</c:v>
                </c:pt>
                <c:pt idx="4">
                  <c:v>N</c:v>
                </c:pt>
                <c:pt idx="5">
                  <c:v>D</c:v>
                </c:pt>
                <c:pt idx="6">
                  <c:v>J</c:v>
                </c:pt>
                <c:pt idx="7">
                  <c:v>F</c:v>
                </c:pt>
                <c:pt idx="8">
                  <c:v>M</c:v>
                </c:pt>
                <c:pt idx="9">
                  <c:v>A</c:v>
                </c:pt>
                <c:pt idx="10">
                  <c:v>M</c:v>
                </c:pt>
                <c:pt idx="11">
                  <c:v>J</c:v>
                </c:pt>
              </c:strCache>
            </c:strRef>
          </c:cat>
          <c:val>
            <c:numRef>
              <c:f>'V2-Longitudinal '!$E$6:$P$6</c:f>
              <c:numCache>
                <c:formatCode>_-* #,##0_-;\-* #,##0_-;_-* "-"??_-;_-@_-</c:formatCode>
                <c:ptCount val="12"/>
                <c:pt idx="0">
                  <c:v>1256</c:v>
                </c:pt>
                <c:pt idx="1">
                  <c:v>1100</c:v>
                </c:pt>
                <c:pt idx="2">
                  <c:v>1230</c:v>
                </c:pt>
                <c:pt idx="3">
                  <c:v>1536</c:v>
                </c:pt>
                <c:pt idx="4">
                  <c:v>1234</c:v>
                </c:pt>
                <c:pt idx="5">
                  <c:v>1353</c:v>
                </c:pt>
                <c:pt idx="6">
                  <c:v>1303</c:v>
                </c:pt>
                <c:pt idx="7">
                  <c:v>960</c:v>
                </c:pt>
                <c:pt idx="8">
                  <c:v>900</c:v>
                </c:pt>
                <c:pt idx="9">
                  <c:v>680</c:v>
                </c:pt>
                <c:pt idx="10">
                  <c:v>642</c:v>
                </c:pt>
                <c:pt idx="11">
                  <c:v>1000</c:v>
                </c:pt>
              </c:numCache>
            </c:numRef>
          </c:val>
        </c:ser>
        <c:ser>
          <c:idx val="1"/>
          <c:order val="1"/>
          <c:tx>
            <c:strRef>
              <c:f>'V2-Longitudinal '!$D$7</c:f>
              <c:strCache>
                <c:ptCount val="1"/>
                <c:pt idx="0">
                  <c:v>Planned</c:v>
                </c:pt>
              </c:strCache>
            </c:strRef>
          </c:tx>
          <c:marker>
            <c:symbol val="none"/>
          </c:marker>
          <c:cat>
            <c:strRef>
              <c:f>'V2-Longitudinal '!$E$5:$P$5</c:f>
              <c:strCache>
                <c:ptCount val="12"/>
                <c:pt idx="0">
                  <c:v>J</c:v>
                </c:pt>
                <c:pt idx="1">
                  <c:v>A</c:v>
                </c:pt>
                <c:pt idx="2">
                  <c:v>S</c:v>
                </c:pt>
                <c:pt idx="3">
                  <c:v>O</c:v>
                </c:pt>
                <c:pt idx="4">
                  <c:v>N</c:v>
                </c:pt>
                <c:pt idx="5">
                  <c:v>D</c:v>
                </c:pt>
                <c:pt idx="6">
                  <c:v>J</c:v>
                </c:pt>
                <c:pt idx="7">
                  <c:v>F</c:v>
                </c:pt>
                <c:pt idx="8">
                  <c:v>M</c:v>
                </c:pt>
                <c:pt idx="9">
                  <c:v>A</c:v>
                </c:pt>
                <c:pt idx="10">
                  <c:v>M</c:v>
                </c:pt>
                <c:pt idx="11">
                  <c:v>J</c:v>
                </c:pt>
              </c:strCache>
            </c:strRef>
          </c:cat>
          <c:val>
            <c:numRef>
              <c:f>'V2-Longitudinal '!$E$7:$P$7</c:f>
              <c:numCache>
                <c:formatCode>_-* #,##0_-;\-* #,##0_-;_-* "-"??_-;_-@_-</c:formatCode>
                <c:ptCount val="12"/>
                <c:pt idx="0">
                  <c:v>1250</c:v>
                </c:pt>
                <c:pt idx="1">
                  <c:v>1500</c:v>
                </c:pt>
                <c:pt idx="2">
                  <c:v>1250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900</c:v>
                </c:pt>
                <c:pt idx="8">
                  <c:v>1000</c:v>
                </c:pt>
                <c:pt idx="9">
                  <c:v>1250</c:v>
                </c:pt>
                <c:pt idx="10">
                  <c:v>1250</c:v>
                </c:pt>
                <c:pt idx="11">
                  <c:v>1500</c:v>
                </c:pt>
              </c:numCache>
            </c:numRef>
          </c:val>
        </c:ser>
        <c:marker val="1"/>
        <c:axId val="86258816"/>
        <c:axId val="86260352"/>
      </c:lineChart>
      <c:catAx>
        <c:axId val="86258816"/>
        <c:scaling>
          <c:orientation val="minMax"/>
        </c:scaling>
        <c:axPos val="b"/>
        <c:tickLblPos val="nextTo"/>
        <c:crossAx val="86260352"/>
        <c:crosses val="autoZero"/>
        <c:auto val="1"/>
        <c:lblAlgn val="ctr"/>
        <c:lblOffset val="100"/>
      </c:catAx>
      <c:valAx>
        <c:axId val="86260352"/>
        <c:scaling>
          <c:orientation val="minMax"/>
        </c:scaling>
        <c:axPos val="l"/>
        <c:majorGridlines/>
        <c:numFmt formatCode="_-* #,##0_-;\-* #,##0_-;_-* &quot;-&quot;??_-;_-@_-" sourceLinked="1"/>
        <c:tickLblPos val="nextTo"/>
        <c:crossAx val="86258816"/>
        <c:crosses val="autoZero"/>
        <c:crossBetween val="between"/>
      </c:valAx>
    </c:plotArea>
    <c:plotVisOnly val="1"/>
    <c:dispBlanksAs val="gap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/>
          <a:lstStyle/>
          <a:p>
            <a:pPr>
              <a:defRPr/>
            </a:pPr>
            <a:r>
              <a:rPr lang="en-AU"/>
              <a:t>Variable Cost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'V2-Longitudinal '!$D$8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strRef>
              <c:f>'V2-Longitudinal '!$E$5:$P$5</c:f>
              <c:strCache>
                <c:ptCount val="12"/>
                <c:pt idx="0">
                  <c:v>J</c:v>
                </c:pt>
                <c:pt idx="1">
                  <c:v>A</c:v>
                </c:pt>
                <c:pt idx="2">
                  <c:v>S</c:v>
                </c:pt>
                <c:pt idx="3">
                  <c:v>O</c:v>
                </c:pt>
                <c:pt idx="4">
                  <c:v>N</c:v>
                </c:pt>
                <c:pt idx="5">
                  <c:v>D</c:v>
                </c:pt>
                <c:pt idx="6">
                  <c:v>J</c:v>
                </c:pt>
                <c:pt idx="7">
                  <c:v>F</c:v>
                </c:pt>
                <c:pt idx="8">
                  <c:v>M</c:v>
                </c:pt>
                <c:pt idx="9">
                  <c:v>A</c:v>
                </c:pt>
                <c:pt idx="10">
                  <c:v>M</c:v>
                </c:pt>
                <c:pt idx="11">
                  <c:v>J</c:v>
                </c:pt>
              </c:strCache>
            </c:strRef>
          </c:cat>
          <c:val>
            <c:numRef>
              <c:f>'V2-Longitudinal '!$E$8:$P$8</c:f>
              <c:numCache>
                <c:formatCode>_-"$"* #,##0_-;\-"$"* #,##0_-;_-"$"* "-"??_-;_-@_-</c:formatCode>
                <c:ptCount val="12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13</c:v>
                </c:pt>
                <c:pt idx="4">
                  <c:v>15</c:v>
                </c:pt>
                <c:pt idx="5">
                  <c:v>13</c:v>
                </c:pt>
                <c:pt idx="6">
                  <c:v>12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</c:numCache>
            </c:numRef>
          </c:val>
        </c:ser>
        <c:ser>
          <c:idx val="1"/>
          <c:order val="1"/>
          <c:tx>
            <c:strRef>
              <c:f>'V2-Longitudinal '!$D$9</c:f>
              <c:strCache>
                <c:ptCount val="1"/>
                <c:pt idx="0">
                  <c:v>Planned</c:v>
                </c:pt>
              </c:strCache>
            </c:strRef>
          </c:tx>
          <c:marker>
            <c:symbol val="none"/>
          </c:marker>
          <c:cat>
            <c:strRef>
              <c:f>'V2-Longitudinal '!$E$5:$P$5</c:f>
              <c:strCache>
                <c:ptCount val="12"/>
                <c:pt idx="0">
                  <c:v>J</c:v>
                </c:pt>
                <c:pt idx="1">
                  <c:v>A</c:v>
                </c:pt>
                <c:pt idx="2">
                  <c:v>S</c:v>
                </c:pt>
                <c:pt idx="3">
                  <c:v>O</c:v>
                </c:pt>
                <c:pt idx="4">
                  <c:v>N</c:v>
                </c:pt>
                <c:pt idx="5">
                  <c:v>D</c:v>
                </c:pt>
                <c:pt idx="6">
                  <c:v>J</c:v>
                </c:pt>
                <c:pt idx="7">
                  <c:v>F</c:v>
                </c:pt>
                <c:pt idx="8">
                  <c:v>M</c:v>
                </c:pt>
                <c:pt idx="9">
                  <c:v>A</c:v>
                </c:pt>
                <c:pt idx="10">
                  <c:v>M</c:v>
                </c:pt>
                <c:pt idx="11">
                  <c:v>J</c:v>
                </c:pt>
              </c:strCache>
            </c:strRef>
          </c:cat>
          <c:val>
            <c:numRef>
              <c:f>'V2-Longitudinal '!$E$9:$P$9</c:f>
              <c:numCache>
                <c:formatCode>_-"$"* #,##0_-;\-"$"* #,##0_-;_-"$"* "-"??_-;_-@_-</c:formatCode>
                <c:ptCount val="12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</c:numCache>
            </c:numRef>
          </c:val>
        </c:ser>
        <c:marker val="1"/>
        <c:axId val="86309888"/>
        <c:axId val="87626496"/>
      </c:lineChart>
      <c:catAx>
        <c:axId val="86309888"/>
        <c:scaling>
          <c:orientation val="minMax"/>
        </c:scaling>
        <c:axPos val="b"/>
        <c:tickLblPos val="nextTo"/>
        <c:crossAx val="87626496"/>
        <c:crosses val="autoZero"/>
        <c:auto val="1"/>
        <c:lblAlgn val="ctr"/>
        <c:lblOffset val="100"/>
      </c:catAx>
      <c:valAx>
        <c:axId val="87626496"/>
        <c:scaling>
          <c:orientation val="minMax"/>
        </c:scaling>
        <c:axPos val="l"/>
        <c:majorGridlines/>
        <c:numFmt formatCode="_-&quot;$&quot;* #,##0_-;\-&quot;$&quot;* #,##0_-;_-&quot;$&quot;* &quot;-&quot;??_-;_-@_-" sourceLinked="1"/>
        <c:tickLblPos val="nextTo"/>
        <c:crossAx val="86309888"/>
        <c:crosses val="autoZero"/>
        <c:crossBetween val="between"/>
      </c:valAx>
    </c:plotArea>
    <c:plotVisOnly val="1"/>
    <c:dispBlanksAs val="gap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/>
          <a:lstStyle/>
          <a:p>
            <a:pPr>
              <a:defRPr/>
            </a:pPr>
            <a:r>
              <a:rPr lang="en-AU"/>
              <a:t>Total Variable</a:t>
            </a:r>
            <a:r>
              <a:rPr lang="en-AU" baseline="0"/>
              <a:t> Cost</a:t>
            </a:r>
            <a:endParaRPr lang="en-AU"/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'V2-Longitudinal '!$D$10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strRef>
              <c:f>'V2-Longitudinal '!$E$5:$P$5</c:f>
              <c:strCache>
                <c:ptCount val="12"/>
                <c:pt idx="0">
                  <c:v>J</c:v>
                </c:pt>
                <c:pt idx="1">
                  <c:v>A</c:v>
                </c:pt>
                <c:pt idx="2">
                  <c:v>S</c:v>
                </c:pt>
                <c:pt idx="3">
                  <c:v>O</c:v>
                </c:pt>
                <c:pt idx="4">
                  <c:v>N</c:v>
                </c:pt>
                <c:pt idx="5">
                  <c:v>D</c:v>
                </c:pt>
                <c:pt idx="6">
                  <c:v>J</c:v>
                </c:pt>
                <c:pt idx="7">
                  <c:v>F</c:v>
                </c:pt>
                <c:pt idx="8">
                  <c:v>M</c:v>
                </c:pt>
                <c:pt idx="9">
                  <c:v>A</c:v>
                </c:pt>
                <c:pt idx="10">
                  <c:v>M</c:v>
                </c:pt>
                <c:pt idx="11">
                  <c:v>J</c:v>
                </c:pt>
              </c:strCache>
            </c:strRef>
          </c:cat>
          <c:val>
            <c:numRef>
              <c:f>'V2-Longitudinal '!$E$10:$P$10</c:f>
              <c:numCache>
                <c:formatCode>_-"$"* #,##0_-;\-"$"* #,##0_-;_-"$"* "-"??_-;_-@_-</c:formatCode>
                <c:ptCount val="12"/>
                <c:pt idx="0">
                  <c:v>15072</c:v>
                </c:pt>
                <c:pt idx="1">
                  <c:v>13200</c:v>
                </c:pt>
                <c:pt idx="2">
                  <c:v>14760</c:v>
                </c:pt>
                <c:pt idx="3">
                  <c:v>19968</c:v>
                </c:pt>
                <c:pt idx="4">
                  <c:v>18510</c:v>
                </c:pt>
                <c:pt idx="5">
                  <c:v>17589</c:v>
                </c:pt>
                <c:pt idx="6">
                  <c:v>15636</c:v>
                </c:pt>
                <c:pt idx="7">
                  <c:v>10560</c:v>
                </c:pt>
                <c:pt idx="8">
                  <c:v>9000</c:v>
                </c:pt>
                <c:pt idx="9">
                  <c:v>6800</c:v>
                </c:pt>
                <c:pt idx="10">
                  <c:v>6420</c:v>
                </c:pt>
                <c:pt idx="11">
                  <c:v>10000</c:v>
                </c:pt>
              </c:numCache>
            </c:numRef>
          </c:val>
        </c:ser>
        <c:ser>
          <c:idx val="1"/>
          <c:order val="1"/>
          <c:tx>
            <c:strRef>
              <c:f>'V2-Longitudinal '!$D$11</c:f>
              <c:strCache>
                <c:ptCount val="1"/>
                <c:pt idx="0">
                  <c:v>Planned</c:v>
                </c:pt>
              </c:strCache>
            </c:strRef>
          </c:tx>
          <c:marker>
            <c:symbol val="none"/>
          </c:marker>
          <c:cat>
            <c:strRef>
              <c:f>'V2-Longitudinal '!$E$5:$P$5</c:f>
              <c:strCache>
                <c:ptCount val="12"/>
                <c:pt idx="0">
                  <c:v>J</c:v>
                </c:pt>
                <c:pt idx="1">
                  <c:v>A</c:v>
                </c:pt>
                <c:pt idx="2">
                  <c:v>S</c:v>
                </c:pt>
                <c:pt idx="3">
                  <c:v>O</c:v>
                </c:pt>
                <c:pt idx="4">
                  <c:v>N</c:v>
                </c:pt>
                <c:pt idx="5">
                  <c:v>D</c:v>
                </c:pt>
                <c:pt idx="6">
                  <c:v>J</c:v>
                </c:pt>
                <c:pt idx="7">
                  <c:v>F</c:v>
                </c:pt>
                <c:pt idx="8">
                  <c:v>M</c:v>
                </c:pt>
                <c:pt idx="9">
                  <c:v>A</c:v>
                </c:pt>
                <c:pt idx="10">
                  <c:v>M</c:v>
                </c:pt>
                <c:pt idx="11">
                  <c:v>J</c:v>
                </c:pt>
              </c:strCache>
            </c:strRef>
          </c:cat>
          <c:val>
            <c:numRef>
              <c:f>'V2-Longitudinal '!$E$11:$P$11</c:f>
              <c:numCache>
                <c:formatCode>_-"$"* #,##0_-;\-"$"* #,##0_-;_-"$"* "-"??_-;_-@_-</c:formatCode>
                <c:ptCount val="12"/>
                <c:pt idx="0">
                  <c:v>12500</c:v>
                </c:pt>
                <c:pt idx="1">
                  <c:v>15000</c:v>
                </c:pt>
                <c:pt idx="2">
                  <c:v>12500</c:v>
                </c:pt>
                <c:pt idx="3">
                  <c:v>10000</c:v>
                </c:pt>
                <c:pt idx="4">
                  <c:v>10000</c:v>
                </c:pt>
                <c:pt idx="5">
                  <c:v>9000</c:v>
                </c:pt>
                <c:pt idx="6">
                  <c:v>9000</c:v>
                </c:pt>
                <c:pt idx="7">
                  <c:v>8100</c:v>
                </c:pt>
                <c:pt idx="8">
                  <c:v>9000</c:v>
                </c:pt>
                <c:pt idx="9">
                  <c:v>11250</c:v>
                </c:pt>
                <c:pt idx="10">
                  <c:v>11250</c:v>
                </c:pt>
                <c:pt idx="11">
                  <c:v>13500</c:v>
                </c:pt>
              </c:numCache>
            </c:numRef>
          </c:val>
        </c:ser>
        <c:marker val="1"/>
        <c:axId val="87647744"/>
        <c:axId val="87649280"/>
      </c:lineChart>
      <c:catAx>
        <c:axId val="87647744"/>
        <c:scaling>
          <c:orientation val="minMax"/>
        </c:scaling>
        <c:axPos val="b"/>
        <c:tickLblPos val="nextTo"/>
        <c:crossAx val="87649280"/>
        <c:crosses val="autoZero"/>
        <c:auto val="1"/>
        <c:lblAlgn val="ctr"/>
        <c:lblOffset val="100"/>
      </c:catAx>
      <c:valAx>
        <c:axId val="87649280"/>
        <c:scaling>
          <c:orientation val="minMax"/>
        </c:scaling>
        <c:axPos val="l"/>
        <c:majorGridlines/>
        <c:numFmt formatCode="_-&quot;$&quot;* #,##0_-;\-&quot;$&quot;* #,##0_-;_-&quot;$&quot;* &quot;-&quot;??_-;_-@_-" sourceLinked="1"/>
        <c:tickLblPos val="nextTo"/>
        <c:crossAx val="87647744"/>
        <c:crosses val="autoZero"/>
        <c:crossBetween val="between"/>
      </c:valAx>
    </c:plotArea>
    <c:plotVisOnly val="1"/>
    <c:dispBlanksAs val="gap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/>
          <a:lstStyle/>
          <a:p>
            <a:pPr>
              <a:defRPr/>
            </a:pPr>
            <a:r>
              <a:rPr lang="en-AU"/>
              <a:t>Fixed Costs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'V2-Longitudinal '!$D$12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strRef>
              <c:f>'V2-Longitudinal '!$E$5:$P$5</c:f>
              <c:strCache>
                <c:ptCount val="12"/>
                <c:pt idx="0">
                  <c:v>J</c:v>
                </c:pt>
                <c:pt idx="1">
                  <c:v>A</c:v>
                </c:pt>
                <c:pt idx="2">
                  <c:v>S</c:v>
                </c:pt>
                <c:pt idx="3">
                  <c:v>O</c:v>
                </c:pt>
                <c:pt idx="4">
                  <c:v>N</c:v>
                </c:pt>
                <c:pt idx="5">
                  <c:v>D</c:v>
                </c:pt>
                <c:pt idx="6">
                  <c:v>J</c:v>
                </c:pt>
                <c:pt idx="7">
                  <c:v>F</c:v>
                </c:pt>
                <c:pt idx="8">
                  <c:v>M</c:v>
                </c:pt>
                <c:pt idx="9">
                  <c:v>A</c:v>
                </c:pt>
                <c:pt idx="10">
                  <c:v>M</c:v>
                </c:pt>
                <c:pt idx="11">
                  <c:v>J</c:v>
                </c:pt>
              </c:strCache>
            </c:strRef>
          </c:cat>
          <c:val>
            <c:numRef>
              <c:f>'V2-Longitudinal '!$E$12:$P$12</c:f>
              <c:numCache>
                <c:formatCode>_-"$"* #,##0_-;\-"$"* #,##0_-;_-"$"* "-"??_-;_-@_-</c:formatCode>
                <c:ptCount val="12"/>
                <c:pt idx="0">
                  <c:v>5000</c:v>
                </c:pt>
                <c:pt idx="1">
                  <c:v>5500</c:v>
                </c:pt>
                <c:pt idx="2">
                  <c:v>5600</c:v>
                </c:pt>
                <c:pt idx="3">
                  <c:v>5700</c:v>
                </c:pt>
                <c:pt idx="4">
                  <c:v>5000</c:v>
                </c:pt>
                <c:pt idx="5">
                  <c:v>3000</c:v>
                </c:pt>
                <c:pt idx="6">
                  <c:v>3000</c:v>
                </c:pt>
                <c:pt idx="7">
                  <c:v>3500</c:v>
                </c:pt>
                <c:pt idx="8">
                  <c:v>3400</c:v>
                </c:pt>
                <c:pt idx="9">
                  <c:v>3600</c:v>
                </c:pt>
                <c:pt idx="10">
                  <c:v>3400</c:v>
                </c:pt>
                <c:pt idx="11">
                  <c:v>3000</c:v>
                </c:pt>
              </c:numCache>
            </c:numRef>
          </c:val>
        </c:ser>
        <c:ser>
          <c:idx val="1"/>
          <c:order val="1"/>
          <c:tx>
            <c:strRef>
              <c:f>'V2-Longitudinal '!$D$13</c:f>
              <c:strCache>
                <c:ptCount val="1"/>
                <c:pt idx="0">
                  <c:v>Planned</c:v>
                </c:pt>
              </c:strCache>
            </c:strRef>
          </c:tx>
          <c:marker>
            <c:symbol val="none"/>
          </c:marker>
          <c:cat>
            <c:strRef>
              <c:f>'V2-Longitudinal '!$E$5:$P$5</c:f>
              <c:strCache>
                <c:ptCount val="12"/>
                <c:pt idx="0">
                  <c:v>J</c:v>
                </c:pt>
                <c:pt idx="1">
                  <c:v>A</c:v>
                </c:pt>
                <c:pt idx="2">
                  <c:v>S</c:v>
                </c:pt>
                <c:pt idx="3">
                  <c:v>O</c:v>
                </c:pt>
                <c:pt idx="4">
                  <c:v>N</c:v>
                </c:pt>
                <c:pt idx="5">
                  <c:v>D</c:v>
                </c:pt>
                <c:pt idx="6">
                  <c:v>J</c:v>
                </c:pt>
                <c:pt idx="7">
                  <c:v>F</c:v>
                </c:pt>
                <c:pt idx="8">
                  <c:v>M</c:v>
                </c:pt>
                <c:pt idx="9">
                  <c:v>A</c:v>
                </c:pt>
                <c:pt idx="10">
                  <c:v>M</c:v>
                </c:pt>
                <c:pt idx="11">
                  <c:v>J</c:v>
                </c:pt>
              </c:strCache>
            </c:strRef>
          </c:cat>
          <c:val>
            <c:numRef>
              <c:f>'V2-Longitudinal '!$E$13:$P$13</c:f>
              <c:numCache>
                <c:formatCode>_-"$"* #,##0_-;\-"$"* #,##0_-;_-"$"* "-"??_-;_-@_-</c:formatCode>
                <c:ptCount val="12"/>
                <c:pt idx="0">
                  <c:v>4500</c:v>
                </c:pt>
                <c:pt idx="1">
                  <c:v>4500</c:v>
                </c:pt>
                <c:pt idx="2">
                  <c:v>4500</c:v>
                </c:pt>
                <c:pt idx="3">
                  <c:v>4500</c:v>
                </c:pt>
                <c:pt idx="4">
                  <c:v>4500</c:v>
                </c:pt>
                <c:pt idx="5">
                  <c:v>4500</c:v>
                </c:pt>
                <c:pt idx="6">
                  <c:v>5000</c:v>
                </c:pt>
                <c:pt idx="7">
                  <c:v>5000</c:v>
                </c:pt>
                <c:pt idx="8">
                  <c:v>5000</c:v>
                </c:pt>
                <c:pt idx="9">
                  <c:v>5000</c:v>
                </c:pt>
                <c:pt idx="10">
                  <c:v>5000</c:v>
                </c:pt>
                <c:pt idx="11">
                  <c:v>4000</c:v>
                </c:pt>
              </c:numCache>
            </c:numRef>
          </c:val>
        </c:ser>
        <c:marker val="1"/>
        <c:axId val="87683072"/>
        <c:axId val="87684608"/>
      </c:lineChart>
      <c:catAx>
        <c:axId val="87683072"/>
        <c:scaling>
          <c:orientation val="minMax"/>
        </c:scaling>
        <c:axPos val="b"/>
        <c:tickLblPos val="nextTo"/>
        <c:crossAx val="87684608"/>
        <c:crosses val="autoZero"/>
        <c:auto val="1"/>
        <c:lblAlgn val="ctr"/>
        <c:lblOffset val="100"/>
      </c:catAx>
      <c:valAx>
        <c:axId val="87684608"/>
        <c:scaling>
          <c:orientation val="minMax"/>
        </c:scaling>
        <c:axPos val="l"/>
        <c:majorGridlines/>
        <c:numFmt formatCode="_-&quot;$&quot;* #,##0_-;\-&quot;$&quot;* #,##0_-;_-&quot;$&quot;* &quot;-&quot;??_-;_-@_-" sourceLinked="1"/>
        <c:tickLblPos val="nextTo"/>
        <c:crossAx val="87683072"/>
        <c:crosses val="autoZero"/>
        <c:crossBetween val="between"/>
      </c:valAx>
    </c:plotArea>
    <c:plotVisOnly val="1"/>
    <c:dispBlanksAs val="gap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/>
          <a:lstStyle/>
          <a:p>
            <a:pPr>
              <a:defRPr/>
            </a:pPr>
            <a:r>
              <a:rPr lang="en-AU"/>
              <a:t>Total Cost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'V2-Longitudinal '!$D$14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strRef>
              <c:f>'V2-Longitudinal '!$E$5:$P$5</c:f>
              <c:strCache>
                <c:ptCount val="12"/>
                <c:pt idx="0">
                  <c:v>J</c:v>
                </c:pt>
                <c:pt idx="1">
                  <c:v>A</c:v>
                </c:pt>
                <c:pt idx="2">
                  <c:v>S</c:v>
                </c:pt>
                <c:pt idx="3">
                  <c:v>O</c:v>
                </c:pt>
                <c:pt idx="4">
                  <c:v>N</c:v>
                </c:pt>
                <c:pt idx="5">
                  <c:v>D</c:v>
                </c:pt>
                <c:pt idx="6">
                  <c:v>J</c:v>
                </c:pt>
                <c:pt idx="7">
                  <c:v>F</c:v>
                </c:pt>
                <c:pt idx="8">
                  <c:v>M</c:v>
                </c:pt>
                <c:pt idx="9">
                  <c:v>A</c:v>
                </c:pt>
                <c:pt idx="10">
                  <c:v>M</c:v>
                </c:pt>
                <c:pt idx="11">
                  <c:v>J</c:v>
                </c:pt>
              </c:strCache>
            </c:strRef>
          </c:cat>
          <c:val>
            <c:numRef>
              <c:f>'V2-Longitudinal '!$E$14:$P$14</c:f>
              <c:numCache>
                <c:formatCode>_-"$"* #,##0_-;\-"$"* #,##0_-;_-"$"* "-"??_-;_-@_-</c:formatCode>
                <c:ptCount val="12"/>
                <c:pt idx="0">
                  <c:v>20072</c:v>
                </c:pt>
                <c:pt idx="1">
                  <c:v>18700</c:v>
                </c:pt>
                <c:pt idx="2">
                  <c:v>20360</c:v>
                </c:pt>
                <c:pt idx="3">
                  <c:v>25668</c:v>
                </c:pt>
                <c:pt idx="4">
                  <c:v>23510</c:v>
                </c:pt>
                <c:pt idx="5">
                  <c:v>20589</c:v>
                </c:pt>
                <c:pt idx="6">
                  <c:v>18636</c:v>
                </c:pt>
                <c:pt idx="7">
                  <c:v>14060</c:v>
                </c:pt>
                <c:pt idx="8">
                  <c:v>12400</c:v>
                </c:pt>
                <c:pt idx="9">
                  <c:v>10400</c:v>
                </c:pt>
                <c:pt idx="10">
                  <c:v>9820</c:v>
                </c:pt>
                <c:pt idx="11">
                  <c:v>13000</c:v>
                </c:pt>
              </c:numCache>
            </c:numRef>
          </c:val>
        </c:ser>
        <c:ser>
          <c:idx val="1"/>
          <c:order val="1"/>
          <c:tx>
            <c:strRef>
              <c:f>'V2-Longitudinal '!$D$15</c:f>
              <c:strCache>
                <c:ptCount val="1"/>
                <c:pt idx="0">
                  <c:v>Planned</c:v>
                </c:pt>
              </c:strCache>
            </c:strRef>
          </c:tx>
          <c:marker>
            <c:symbol val="none"/>
          </c:marker>
          <c:cat>
            <c:strRef>
              <c:f>'V2-Longitudinal '!$E$5:$P$5</c:f>
              <c:strCache>
                <c:ptCount val="12"/>
                <c:pt idx="0">
                  <c:v>J</c:v>
                </c:pt>
                <c:pt idx="1">
                  <c:v>A</c:v>
                </c:pt>
                <c:pt idx="2">
                  <c:v>S</c:v>
                </c:pt>
                <c:pt idx="3">
                  <c:v>O</c:v>
                </c:pt>
                <c:pt idx="4">
                  <c:v>N</c:v>
                </c:pt>
                <c:pt idx="5">
                  <c:v>D</c:v>
                </c:pt>
                <c:pt idx="6">
                  <c:v>J</c:v>
                </c:pt>
                <c:pt idx="7">
                  <c:v>F</c:v>
                </c:pt>
                <c:pt idx="8">
                  <c:v>M</c:v>
                </c:pt>
                <c:pt idx="9">
                  <c:v>A</c:v>
                </c:pt>
                <c:pt idx="10">
                  <c:v>M</c:v>
                </c:pt>
                <c:pt idx="11">
                  <c:v>J</c:v>
                </c:pt>
              </c:strCache>
            </c:strRef>
          </c:cat>
          <c:val>
            <c:numRef>
              <c:f>'V2-Longitudinal '!$E$15:$P$15</c:f>
              <c:numCache>
                <c:formatCode>_-"$"* #,##0_-;\-"$"* #,##0_-;_-"$"* "-"??_-;_-@_-</c:formatCode>
                <c:ptCount val="12"/>
                <c:pt idx="0">
                  <c:v>17000</c:v>
                </c:pt>
                <c:pt idx="1">
                  <c:v>19500</c:v>
                </c:pt>
                <c:pt idx="2">
                  <c:v>17000</c:v>
                </c:pt>
                <c:pt idx="3">
                  <c:v>14500</c:v>
                </c:pt>
                <c:pt idx="4">
                  <c:v>14500</c:v>
                </c:pt>
                <c:pt idx="5">
                  <c:v>13500</c:v>
                </c:pt>
                <c:pt idx="6">
                  <c:v>14000</c:v>
                </c:pt>
                <c:pt idx="7">
                  <c:v>13100</c:v>
                </c:pt>
                <c:pt idx="8">
                  <c:v>14000</c:v>
                </c:pt>
                <c:pt idx="9">
                  <c:v>16250</c:v>
                </c:pt>
                <c:pt idx="10">
                  <c:v>16250</c:v>
                </c:pt>
                <c:pt idx="11">
                  <c:v>17500</c:v>
                </c:pt>
              </c:numCache>
            </c:numRef>
          </c:val>
        </c:ser>
        <c:marker val="1"/>
        <c:axId val="88762624"/>
        <c:axId val="88772608"/>
      </c:lineChart>
      <c:catAx>
        <c:axId val="88762624"/>
        <c:scaling>
          <c:orientation val="minMax"/>
        </c:scaling>
        <c:axPos val="b"/>
        <c:tickLblPos val="nextTo"/>
        <c:crossAx val="88772608"/>
        <c:crosses val="autoZero"/>
        <c:auto val="1"/>
        <c:lblAlgn val="ctr"/>
        <c:lblOffset val="100"/>
      </c:catAx>
      <c:valAx>
        <c:axId val="88772608"/>
        <c:scaling>
          <c:orientation val="minMax"/>
        </c:scaling>
        <c:axPos val="l"/>
        <c:majorGridlines/>
        <c:numFmt formatCode="_-&quot;$&quot;* #,##0_-;\-&quot;$&quot;* #,##0_-;_-&quot;$&quot;* &quot;-&quot;??_-;_-@_-" sourceLinked="1"/>
        <c:tickLblPos val="nextTo"/>
        <c:crossAx val="88762624"/>
        <c:crosses val="autoZero"/>
        <c:crossBetween val="between"/>
      </c:valAx>
    </c:plotArea>
    <c:plotVisOnly val="1"/>
    <c:dispBlanksAs val="gap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DA7875A6-090D-451D-9E15-95EDE8B057E4}" type="doc">
      <dgm:prSet loTypeId="urn:microsoft.com/office/officeart/2009/3/layout/HorizontalOrganizationChart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AU"/>
        </a:p>
      </dgm:t>
    </dgm:pt>
    <dgm:pt modelId="{666A2010-B429-4325-A722-CD577FAAE21E}">
      <dgm:prSet phldrT="[Text]"/>
      <dgm:spPr/>
      <dgm:t>
        <a:bodyPr/>
        <a:lstStyle/>
        <a:p>
          <a:r>
            <a:rPr lang="en-AU" dirty="0" smtClean="0"/>
            <a:t>Total Processed Tonnes with Factory</a:t>
          </a:r>
          <a:endParaRPr lang="en-AU" dirty="0"/>
        </a:p>
      </dgm:t>
    </dgm:pt>
    <dgm:pt modelId="{97FD82CB-6B82-4C8C-A322-27C018E7B6AF}" type="parTrans" cxnId="{86D6888E-667D-4B98-B177-A6FE76B3EC96}">
      <dgm:prSet/>
      <dgm:spPr/>
      <dgm:t>
        <a:bodyPr/>
        <a:lstStyle/>
        <a:p>
          <a:endParaRPr lang="en-AU"/>
        </a:p>
      </dgm:t>
    </dgm:pt>
    <dgm:pt modelId="{A79C8438-15E1-4C32-BE16-3E9D27BDF326}" type="sibTrans" cxnId="{86D6888E-667D-4B98-B177-A6FE76B3EC96}">
      <dgm:prSet/>
      <dgm:spPr/>
      <dgm:t>
        <a:bodyPr/>
        <a:lstStyle/>
        <a:p>
          <a:endParaRPr lang="en-AU"/>
        </a:p>
      </dgm:t>
    </dgm:pt>
    <dgm:pt modelId="{EE25F3D0-3737-4733-B490-4CEC36D2D021}">
      <dgm:prSet phldrT="[Text]"/>
      <dgm:spPr/>
      <dgm:t>
        <a:bodyPr/>
        <a:lstStyle/>
        <a:p>
          <a:r>
            <a:rPr lang="en-AU" dirty="0" smtClean="0"/>
            <a:t>Number of Cotton Gins</a:t>
          </a:r>
          <a:endParaRPr lang="en-AU" dirty="0"/>
        </a:p>
      </dgm:t>
    </dgm:pt>
    <dgm:pt modelId="{5F8C9879-67A1-48D1-9773-5EE9D430465E}" type="parTrans" cxnId="{2CBB2E68-13EC-4517-83E8-CBF219278C37}">
      <dgm:prSet/>
      <dgm:spPr/>
      <dgm:t>
        <a:bodyPr/>
        <a:lstStyle/>
        <a:p>
          <a:endParaRPr lang="en-AU"/>
        </a:p>
      </dgm:t>
    </dgm:pt>
    <dgm:pt modelId="{26701B1E-0DFB-4BDD-BCC1-2181A7DDCC02}" type="sibTrans" cxnId="{2CBB2E68-13EC-4517-83E8-CBF219278C37}">
      <dgm:prSet/>
      <dgm:spPr/>
      <dgm:t>
        <a:bodyPr/>
        <a:lstStyle/>
        <a:p>
          <a:endParaRPr lang="en-AU"/>
        </a:p>
      </dgm:t>
    </dgm:pt>
    <dgm:pt modelId="{B8903A62-0ED2-40C2-9F94-0E6BF0C3A55E}">
      <dgm:prSet phldrT="[Text]"/>
      <dgm:spPr/>
      <dgm:t>
        <a:bodyPr/>
        <a:lstStyle/>
        <a:p>
          <a:r>
            <a:rPr lang="en-AU" dirty="0" smtClean="0"/>
            <a:t>Amount of Processed Tonnes</a:t>
          </a:r>
          <a:endParaRPr lang="en-AU" dirty="0"/>
        </a:p>
      </dgm:t>
    </dgm:pt>
    <dgm:pt modelId="{AEC4BF68-B34F-4847-B695-C9969E6F0043}" type="parTrans" cxnId="{D0B0521C-17C2-4D58-B01C-5799BD84B0BB}">
      <dgm:prSet/>
      <dgm:spPr/>
      <dgm:t>
        <a:bodyPr/>
        <a:lstStyle/>
        <a:p>
          <a:endParaRPr lang="en-AU"/>
        </a:p>
      </dgm:t>
    </dgm:pt>
    <dgm:pt modelId="{8B6800D1-8F29-4428-923F-51BF2B48FF0F}" type="sibTrans" cxnId="{D0B0521C-17C2-4D58-B01C-5799BD84B0BB}">
      <dgm:prSet/>
      <dgm:spPr/>
      <dgm:t>
        <a:bodyPr/>
        <a:lstStyle/>
        <a:p>
          <a:endParaRPr lang="en-AU"/>
        </a:p>
      </dgm:t>
    </dgm:pt>
    <dgm:pt modelId="{43C175E1-01C6-4471-9FAD-38CEDC834DB4}">
      <dgm:prSet phldrT="[Text]"/>
      <dgm:spPr/>
      <dgm:t>
        <a:bodyPr/>
        <a:lstStyle/>
        <a:p>
          <a:r>
            <a:rPr lang="en-AU" dirty="0" smtClean="0"/>
            <a:t>Average Separations per Processed Tonne</a:t>
          </a:r>
          <a:endParaRPr lang="en-AU" dirty="0"/>
        </a:p>
      </dgm:t>
    </dgm:pt>
    <dgm:pt modelId="{BD2CD421-0D7E-4009-8D8A-0A216B3EFA01}" type="parTrans" cxnId="{B5CDF49A-8A37-4CD3-A74F-BD49D44B37E5}">
      <dgm:prSet/>
      <dgm:spPr/>
      <dgm:t>
        <a:bodyPr/>
        <a:lstStyle/>
        <a:p>
          <a:endParaRPr lang="en-AU"/>
        </a:p>
      </dgm:t>
    </dgm:pt>
    <dgm:pt modelId="{5EA2FFBE-33EA-42D2-AEEF-91BF264DE929}" type="sibTrans" cxnId="{B5CDF49A-8A37-4CD3-A74F-BD49D44B37E5}">
      <dgm:prSet/>
      <dgm:spPr/>
      <dgm:t>
        <a:bodyPr/>
        <a:lstStyle/>
        <a:p>
          <a:endParaRPr lang="en-AU"/>
        </a:p>
      </dgm:t>
    </dgm:pt>
    <dgm:pt modelId="{F9EE907E-CBAD-4298-B6A0-8A237CDC84E8}">
      <dgm:prSet phldrT="[Text]"/>
      <dgm:spPr/>
      <dgm:t>
        <a:bodyPr/>
        <a:lstStyle/>
        <a:p>
          <a:r>
            <a:rPr lang="en-AU" dirty="0" smtClean="0"/>
            <a:t>Number of Separations</a:t>
          </a:r>
          <a:endParaRPr lang="en-AU" dirty="0"/>
        </a:p>
      </dgm:t>
    </dgm:pt>
    <dgm:pt modelId="{08EF67A2-0524-4BAF-9D8E-C083EF790D71}" type="parTrans" cxnId="{524D150D-9844-4B99-A57A-6CEAF5C9DD1B}">
      <dgm:prSet/>
      <dgm:spPr/>
      <dgm:t>
        <a:bodyPr/>
        <a:lstStyle/>
        <a:p>
          <a:endParaRPr lang="en-AU"/>
        </a:p>
      </dgm:t>
    </dgm:pt>
    <dgm:pt modelId="{69FE2D38-1C75-42B3-ABD6-6FCF55AF4B22}" type="sibTrans" cxnId="{524D150D-9844-4B99-A57A-6CEAF5C9DD1B}">
      <dgm:prSet/>
      <dgm:spPr/>
      <dgm:t>
        <a:bodyPr/>
        <a:lstStyle/>
        <a:p>
          <a:endParaRPr lang="en-AU"/>
        </a:p>
      </dgm:t>
    </dgm:pt>
    <dgm:pt modelId="{08929CCC-F5A2-440F-AD81-2CD7A62317D4}">
      <dgm:prSet phldrT="[Text]"/>
      <dgm:spPr/>
      <dgm:t>
        <a:bodyPr/>
        <a:lstStyle/>
        <a:p>
          <a:r>
            <a:rPr lang="en-AU" dirty="0" smtClean="0"/>
            <a:t>Average Metres per Separation</a:t>
          </a:r>
          <a:endParaRPr lang="en-AU" dirty="0"/>
        </a:p>
      </dgm:t>
    </dgm:pt>
    <dgm:pt modelId="{C729C572-31CC-4CAE-8D9F-4F2AFE9F328B}" type="parTrans" cxnId="{50F7A8C2-CE19-4E42-9590-6B213E0A1994}">
      <dgm:prSet/>
      <dgm:spPr/>
      <dgm:t>
        <a:bodyPr/>
        <a:lstStyle/>
        <a:p>
          <a:endParaRPr lang="en-AU"/>
        </a:p>
      </dgm:t>
    </dgm:pt>
    <dgm:pt modelId="{962CAD6B-631D-4615-BC32-A56BA5F7ADCA}" type="sibTrans" cxnId="{50F7A8C2-CE19-4E42-9590-6B213E0A1994}">
      <dgm:prSet/>
      <dgm:spPr/>
      <dgm:t>
        <a:bodyPr/>
        <a:lstStyle/>
        <a:p>
          <a:endParaRPr lang="en-AU"/>
        </a:p>
      </dgm:t>
    </dgm:pt>
    <dgm:pt modelId="{88C56762-488D-43F8-A4C6-5BD0C6E48B36}">
      <dgm:prSet phldrT="[Text]"/>
      <dgm:spPr/>
      <dgm:t>
        <a:bodyPr/>
        <a:lstStyle/>
        <a:p>
          <a:r>
            <a:rPr lang="en-AU" dirty="0" smtClean="0"/>
            <a:t>Total Metres Rolled</a:t>
          </a:r>
          <a:endParaRPr lang="en-AU" dirty="0"/>
        </a:p>
      </dgm:t>
    </dgm:pt>
    <dgm:pt modelId="{71FF66A4-D7E6-4677-B7CC-E8EECA60D33F}" type="parTrans" cxnId="{A223314F-0D65-41EB-8DFA-AAE5A1B261CD}">
      <dgm:prSet/>
      <dgm:spPr/>
      <dgm:t>
        <a:bodyPr/>
        <a:lstStyle/>
        <a:p>
          <a:endParaRPr lang="en-AU"/>
        </a:p>
      </dgm:t>
    </dgm:pt>
    <dgm:pt modelId="{A155FFD5-DBFB-4584-9D1C-061D45D06C52}" type="sibTrans" cxnId="{A223314F-0D65-41EB-8DFA-AAE5A1B261CD}">
      <dgm:prSet/>
      <dgm:spPr/>
      <dgm:t>
        <a:bodyPr/>
        <a:lstStyle/>
        <a:p>
          <a:endParaRPr lang="en-AU"/>
        </a:p>
      </dgm:t>
    </dgm:pt>
    <dgm:pt modelId="{3DD36267-220F-45D9-AD7D-06BE40CD473F}">
      <dgm:prSet phldrT="[Text]"/>
      <dgm:spPr/>
      <dgm:t>
        <a:bodyPr/>
        <a:lstStyle/>
        <a:p>
          <a:r>
            <a:rPr lang="en-AU" dirty="0" smtClean="0"/>
            <a:t>Average Metres per Hour</a:t>
          </a:r>
          <a:endParaRPr lang="en-AU" dirty="0"/>
        </a:p>
      </dgm:t>
    </dgm:pt>
    <dgm:pt modelId="{8AB30F78-4033-412D-8B5B-7F28FCEA02CD}" type="parTrans" cxnId="{B76DD189-5202-4A31-9FFC-DC06520FB698}">
      <dgm:prSet/>
      <dgm:spPr/>
      <dgm:t>
        <a:bodyPr/>
        <a:lstStyle/>
        <a:p>
          <a:endParaRPr lang="en-AU"/>
        </a:p>
      </dgm:t>
    </dgm:pt>
    <dgm:pt modelId="{42CD225E-8480-458B-A627-077B01B707D0}" type="sibTrans" cxnId="{B76DD189-5202-4A31-9FFC-DC06520FB698}">
      <dgm:prSet/>
      <dgm:spPr/>
      <dgm:t>
        <a:bodyPr/>
        <a:lstStyle/>
        <a:p>
          <a:endParaRPr lang="en-AU"/>
        </a:p>
      </dgm:t>
    </dgm:pt>
    <dgm:pt modelId="{312A51CD-5F02-44D9-8C96-741181134332}">
      <dgm:prSet phldrT="[Text]"/>
      <dgm:spPr/>
      <dgm:t>
        <a:bodyPr/>
        <a:lstStyle/>
        <a:p>
          <a:r>
            <a:rPr lang="en-AU" dirty="0" smtClean="0"/>
            <a:t>Cotton Gin Operating Time</a:t>
          </a:r>
          <a:endParaRPr lang="en-AU" dirty="0"/>
        </a:p>
      </dgm:t>
    </dgm:pt>
    <dgm:pt modelId="{8BD92832-3514-4C42-A67D-C21482530EAA}" type="parTrans" cxnId="{29E354DD-F2A2-4FDA-910C-856729681991}">
      <dgm:prSet/>
      <dgm:spPr/>
      <dgm:t>
        <a:bodyPr/>
        <a:lstStyle/>
        <a:p>
          <a:endParaRPr lang="en-AU"/>
        </a:p>
      </dgm:t>
    </dgm:pt>
    <dgm:pt modelId="{CA49025A-C011-4AE2-B2DE-C1B596C391AE}" type="sibTrans" cxnId="{29E354DD-F2A2-4FDA-910C-856729681991}">
      <dgm:prSet/>
      <dgm:spPr/>
      <dgm:t>
        <a:bodyPr/>
        <a:lstStyle/>
        <a:p>
          <a:endParaRPr lang="en-AU"/>
        </a:p>
      </dgm:t>
    </dgm:pt>
    <dgm:pt modelId="{1CEC328F-76CA-48BF-A83B-D7A5552861F1}" type="pres">
      <dgm:prSet presAssocID="{DA7875A6-090D-451D-9E15-95EDE8B057E4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  <dgm:t>
        <a:bodyPr/>
        <a:lstStyle/>
        <a:p>
          <a:endParaRPr lang="en-AU"/>
        </a:p>
      </dgm:t>
    </dgm:pt>
    <dgm:pt modelId="{F7B8CEBA-0C79-44CD-838A-2FED1290FCA6}" type="pres">
      <dgm:prSet presAssocID="{666A2010-B429-4325-A722-CD577FAAE21E}" presName="hierRoot1" presStyleCnt="0">
        <dgm:presLayoutVars>
          <dgm:hierBranch val="init"/>
        </dgm:presLayoutVars>
      </dgm:prSet>
      <dgm:spPr/>
    </dgm:pt>
    <dgm:pt modelId="{D8A7C144-99EF-4F28-A5D9-9CFFAC67A402}" type="pres">
      <dgm:prSet presAssocID="{666A2010-B429-4325-A722-CD577FAAE21E}" presName="rootComposite1" presStyleCnt="0"/>
      <dgm:spPr/>
    </dgm:pt>
    <dgm:pt modelId="{469BC696-A8B4-46CC-A781-56ECF4FC45A0}" type="pres">
      <dgm:prSet presAssocID="{666A2010-B429-4325-A722-CD577FAAE21E}" presName="rootText1" presStyleLbl="node0" presStyleIdx="0" presStyleCnt="1">
        <dgm:presLayoutVars>
          <dgm:chPref val="3"/>
        </dgm:presLayoutVars>
      </dgm:prSet>
      <dgm:spPr/>
      <dgm:t>
        <a:bodyPr/>
        <a:lstStyle/>
        <a:p>
          <a:endParaRPr lang="en-AU"/>
        </a:p>
      </dgm:t>
    </dgm:pt>
    <dgm:pt modelId="{59406539-87B6-420E-871E-0EDA8574AEFF}" type="pres">
      <dgm:prSet presAssocID="{666A2010-B429-4325-A722-CD577FAAE21E}" presName="rootConnector1" presStyleLbl="node1" presStyleIdx="0" presStyleCnt="0"/>
      <dgm:spPr/>
      <dgm:t>
        <a:bodyPr/>
        <a:lstStyle/>
        <a:p>
          <a:endParaRPr lang="en-AU"/>
        </a:p>
      </dgm:t>
    </dgm:pt>
    <dgm:pt modelId="{334D5A28-AF84-4D34-A2C5-54D7C3B04928}" type="pres">
      <dgm:prSet presAssocID="{666A2010-B429-4325-A722-CD577FAAE21E}" presName="hierChild2" presStyleCnt="0"/>
      <dgm:spPr/>
    </dgm:pt>
    <dgm:pt modelId="{A9BA68BB-6454-45C3-8EC7-E3E76BCA95BE}" type="pres">
      <dgm:prSet presAssocID="{5F8C9879-67A1-48D1-9773-5EE9D430465E}" presName="Name64" presStyleLbl="parChTrans1D2" presStyleIdx="0" presStyleCnt="2"/>
      <dgm:spPr/>
      <dgm:t>
        <a:bodyPr/>
        <a:lstStyle/>
        <a:p>
          <a:endParaRPr lang="en-AU"/>
        </a:p>
      </dgm:t>
    </dgm:pt>
    <dgm:pt modelId="{2A2AE014-A253-4DD6-BE17-78CC5E73CD06}" type="pres">
      <dgm:prSet presAssocID="{EE25F3D0-3737-4733-B490-4CEC36D2D021}" presName="hierRoot2" presStyleCnt="0">
        <dgm:presLayoutVars>
          <dgm:hierBranch val="init"/>
        </dgm:presLayoutVars>
      </dgm:prSet>
      <dgm:spPr/>
    </dgm:pt>
    <dgm:pt modelId="{F4064FE4-E2E7-4934-BC3E-0689AEA8D278}" type="pres">
      <dgm:prSet presAssocID="{EE25F3D0-3737-4733-B490-4CEC36D2D021}" presName="rootComposite" presStyleCnt="0"/>
      <dgm:spPr/>
    </dgm:pt>
    <dgm:pt modelId="{43DEAEDB-AFF3-4C45-BC22-40D36B55A714}" type="pres">
      <dgm:prSet presAssocID="{EE25F3D0-3737-4733-B490-4CEC36D2D021}" presName="rootText" presStyleLbl="node2" presStyleIdx="0" presStyleCnt="2">
        <dgm:presLayoutVars>
          <dgm:chPref val="3"/>
        </dgm:presLayoutVars>
      </dgm:prSet>
      <dgm:spPr/>
      <dgm:t>
        <a:bodyPr/>
        <a:lstStyle/>
        <a:p>
          <a:endParaRPr lang="en-AU"/>
        </a:p>
      </dgm:t>
    </dgm:pt>
    <dgm:pt modelId="{DD7C3698-B141-400D-A6C8-EDC57536DD65}" type="pres">
      <dgm:prSet presAssocID="{EE25F3D0-3737-4733-B490-4CEC36D2D021}" presName="rootConnector" presStyleLbl="node2" presStyleIdx="0" presStyleCnt="2"/>
      <dgm:spPr/>
      <dgm:t>
        <a:bodyPr/>
        <a:lstStyle/>
        <a:p>
          <a:endParaRPr lang="en-AU"/>
        </a:p>
      </dgm:t>
    </dgm:pt>
    <dgm:pt modelId="{326E268B-1B4F-49D6-8CE3-D051391767C2}" type="pres">
      <dgm:prSet presAssocID="{EE25F3D0-3737-4733-B490-4CEC36D2D021}" presName="hierChild4" presStyleCnt="0"/>
      <dgm:spPr/>
    </dgm:pt>
    <dgm:pt modelId="{20A5362C-060C-436B-B727-CCF242158E74}" type="pres">
      <dgm:prSet presAssocID="{EE25F3D0-3737-4733-B490-4CEC36D2D021}" presName="hierChild5" presStyleCnt="0"/>
      <dgm:spPr/>
    </dgm:pt>
    <dgm:pt modelId="{7F435706-04E1-479F-84B3-803525F2D943}" type="pres">
      <dgm:prSet presAssocID="{AEC4BF68-B34F-4847-B695-C9969E6F0043}" presName="Name64" presStyleLbl="parChTrans1D2" presStyleIdx="1" presStyleCnt="2"/>
      <dgm:spPr/>
      <dgm:t>
        <a:bodyPr/>
        <a:lstStyle/>
        <a:p>
          <a:endParaRPr lang="en-AU"/>
        </a:p>
      </dgm:t>
    </dgm:pt>
    <dgm:pt modelId="{4586361E-E03C-49E0-8980-FA62EB942BB9}" type="pres">
      <dgm:prSet presAssocID="{B8903A62-0ED2-40C2-9F94-0E6BF0C3A55E}" presName="hierRoot2" presStyleCnt="0">
        <dgm:presLayoutVars>
          <dgm:hierBranch val="init"/>
        </dgm:presLayoutVars>
      </dgm:prSet>
      <dgm:spPr/>
    </dgm:pt>
    <dgm:pt modelId="{7C0AAE0D-7C92-447E-AB7D-7D1F9B487042}" type="pres">
      <dgm:prSet presAssocID="{B8903A62-0ED2-40C2-9F94-0E6BF0C3A55E}" presName="rootComposite" presStyleCnt="0"/>
      <dgm:spPr/>
    </dgm:pt>
    <dgm:pt modelId="{152B234C-4C5A-4DA4-A749-49C68C750C50}" type="pres">
      <dgm:prSet presAssocID="{B8903A62-0ED2-40C2-9F94-0E6BF0C3A55E}" presName="rootText" presStyleLbl="node2" presStyleIdx="1" presStyleCnt="2">
        <dgm:presLayoutVars>
          <dgm:chPref val="3"/>
        </dgm:presLayoutVars>
      </dgm:prSet>
      <dgm:spPr/>
      <dgm:t>
        <a:bodyPr/>
        <a:lstStyle/>
        <a:p>
          <a:endParaRPr lang="en-AU"/>
        </a:p>
      </dgm:t>
    </dgm:pt>
    <dgm:pt modelId="{16D5B21A-EA03-4E79-A840-0B948EB3F6EE}" type="pres">
      <dgm:prSet presAssocID="{B8903A62-0ED2-40C2-9F94-0E6BF0C3A55E}" presName="rootConnector" presStyleLbl="node2" presStyleIdx="1" presStyleCnt="2"/>
      <dgm:spPr/>
      <dgm:t>
        <a:bodyPr/>
        <a:lstStyle/>
        <a:p>
          <a:endParaRPr lang="en-AU"/>
        </a:p>
      </dgm:t>
    </dgm:pt>
    <dgm:pt modelId="{BD690A1B-E1C1-420D-AFD5-00847E413F5B}" type="pres">
      <dgm:prSet presAssocID="{B8903A62-0ED2-40C2-9F94-0E6BF0C3A55E}" presName="hierChild4" presStyleCnt="0"/>
      <dgm:spPr/>
    </dgm:pt>
    <dgm:pt modelId="{B11BC737-8C63-44DD-8611-153688427039}" type="pres">
      <dgm:prSet presAssocID="{BD2CD421-0D7E-4009-8D8A-0A216B3EFA01}" presName="Name64" presStyleLbl="parChTrans1D3" presStyleIdx="0" presStyleCnt="2"/>
      <dgm:spPr/>
      <dgm:t>
        <a:bodyPr/>
        <a:lstStyle/>
        <a:p>
          <a:endParaRPr lang="en-AU"/>
        </a:p>
      </dgm:t>
    </dgm:pt>
    <dgm:pt modelId="{8DA97BA7-AF0E-4F29-84C9-7B14F79C5E01}" type="pres">
      <dgm:prSet presAssocID="{43C175E1-01C6-4471-9FAD-38CEDC834DB4}" presName="hierRoot2" presStyleCnt="0">
        <dgm:presLayoutVars>
          <dgm:hierBranch val="init"/>
        </dgm:presLayoutVars>
      </dgm:prSet>
      <dgm:spPr/>
    </dgm:pt>
    <dgm:pt modelId="{FEB87236-5949-47A5-A747-799606146B07}" type="pres">
      <dgm:prSet presAssocID="{43C175E1-01C6-4471-9FAD-38CEDC834DB4}" presName="rootComposite" presStyleCnt="0"/>
      <dgm:spPr/>
    </dgm:pt>
    <dgm:pt modelId="{F45AAA93-8035-4195-883B-52C74202DED7}" type="pres">
      <dgm:prSet presAssocID="{43C175E1-01C6-4471-9FAD-38CEDC834DB4}" presName="rootText" presStyleLbl="node3" presStyleIdx="0" presStyleCnt="2">
        <dgm:presLayoutVars>
          <dgm:chPref val="3"/>
        </dgm:presLayoutVars>
      </dgm:prSet>
      <dgm:spPr/>
      <dgm:t>
        <a:bodyPr/>
        <a:lstStyle/>
        <a:p>
          <a:endParaRPr lang="en-AU"/>
        </a:p>
      </dgm:t>
    </dgm:pt>
    <dgm:pt modelId="{BB9EE668-AA23-4013-B6A5-004F32599EF9}" type="pres">
      <dgm:prSet presAssocID="{43C175E1-01C6-4471-9FAD-38CEDC834DB4}" presName="rootConnector" presStyleLbl="node3" presStyleIdx="0" presStyleCnt="2"/>
      <dgm:spPr/>
      <dgm:t>
        <a:bodyPr/>
        <a:lstStyle/>
        <a:p>
          <a:endParaRPr lang="en-AU"/>
        </a:p>
      </dgm:t>
    </dgm:pt>
    <dgm:pt modelId="{F2449D3B-B709-4D56-8555-895A8F9BB8AF}" type="pres">
      <dgm:prSet presAssocID="{43C175E1-01C6-4471-9FAD-38CEDC834DB4}" presName="hierChild4" presStyleCnt="0"/>
      <dgm:spPr/>
    </dgm:pt>
    <dgm:pt modelId="{B36A2CF3-6C55-4176-8D0E-FB6891F37086}" type="pres">
      <dgm:prSet presAssocID="{43C175E1-01C6-4471-9FAD-38CEDC834DB4}" presName="hierChild5" presStyleCnt="0"/>
      <dgm:spPr/>
    </dgm:pt>
    <dgm:pt modelId="{520DACBF-F617-414E-BF77-B2D992B6E952}" type="pres">
      <dgm:prSet presAssocID="{08EF67A2-0524-4BAF-9D8E-C083EF790D71}" presName="Name64" presStyleLbl="parChTrans1D3" presStyleIdx="1" presStyleCnt="2"/>
      <dgm:spPr/>
      <dgm:t>
        <a:bodyPr/>
        <a:lstStyle/>
        <a:p>
          <a:endParaRPr lang="en-AU"/>
        </a:p>
      </dgm:t>
    </dgm:pt>
    <dgm:pt modelId="{D8B0CA19-3D0F-4730-B4E0-11C59F1EC40C}" type="pres">
      <dgm:prSet presAssocID="{F9EE907E-CBAD-4298-B6A0-8A237CDC84E8}" presName="hierRoot2" presStyleCnt="0">
        <dgm:presLayoutVars>
          <dgm:hierBranch val="init"/>
        </dgm:presLayoutVars>
      </dgm:prSet>
      <dgm:spPr/>
    </dgm:pt>
    <dgm:pt modelId="{F481F716-F93A-4715-9235-2E40DB7347C2}" type="pres">
      <dgm:prSet presAssocID="{F9EE907E-CBAD-4298-B6A0-8A237CDC84E8}" presName="rootComposite" presStyleCnt="0"/>
      <dgm:spPr/>
    </dgm:pt>
    <dgm:pt modelId="{BA7F8164-9199-4ACE-BE67-DC4A4E806D36}" type="pres">
      <dgm:prSet presAssocID="{F9EE907E-CBAD-4298-B6A0-8A237CDC84E8}" presName="rootText" presStyleLbl="node3" presStyleIdx="1" presStyleCnt="2">
        <dgm:presLayoutVars>
          <dgm:chPref val="3"/>
        </dgm:presLayoutVars>
      </dgm:prSet>
      <dgm:spPr/>
      <dgm:t>
        <a:bodyPr/>
        <a:lstStyle/>
        <a:p>
          <a:endParaRPr lang="en-AU"/>
        </a:p>
      </dgm:t>
    </dgm:pt>
    <dgm:pt modelId="{4D6DE9E4-7ED0-4194-BF65-9A0A3BC86F53}" type="pres">
      <dgm:prSet presAssocID="{F9EE907E-CBAD-4298-B6A0-8A237CDC84E8}" presName="rootConnector" presStyleLbl="node3" presStyleIdx="1" presStyleCnt="2"/>
      <dgm:spPr/>
      <dgm:t>
        <a:bodyPr/>
        <a:lstStyle/>
        <a:p>
          <a:endParaRPr lang="en-AU"/>
        </a:p>
      </dgm:t>
    </dgm:pt>
    <dgm:pt modelId="{082009A5-18B8-4C64-A1F7-413B2E12B486}" type="pres">
      <dgm:prSet presAssocID="{F9EE907E-CBAD-4298-B6A0-8A237CDC84E8}" presName="hierChild4" presStyleCnt="0"/>
      <dgm:spPr/>
    </dgm:pt>
    <dgm:pt modelId="{2D2551C6-A78D-4CC2-8A15-2192243C4C54}" type="pres">
      <dgm:prSet presAssocID="{C729C572-31CC-4CAE-8D9F-4F2AFE9F328B}" presName="Name64" presStyleLbl="parChTrans1D4" presStyleIdx="0" presStyleCnt="4"/>
      <dgm:spPr/>
      <dgm:t>
        <a:bodyPr/>
        <a:lstStyle/>
        <a:p>
          <a:endParaRPr lang="en-AU"/>
        </a:p>
      </dgm:t>
    </dgm:pt>
    <dgm:pt modelId="{001FEFE6-FB63-453E-A891-8AED821148E4}" type="pres">
      <dgm:prSet presAssocID="{08929CCC-F5A2-440F-AD81-2CD7A62317D4}" presName="hierRoot2" presStyleCnt="0">
        <dgm:presLayoutVars>
          <dgm:hierBranch val="init"/>
        </dgm:presLayoutVars>
      </dgm:prSet>
      <dgm:spPr/>
    </dgm:pt>
    <dgm:pt modelId="{F1F9A34C-241D-41CF-B1B8-C5A6F76D223E}" type="pres">
      <dgm:prSet presAssocID="{08929CCC-F5A2-440F-AD81-2CD7A62317D4}" presName="rootComposite" presStyleCnt="0"/>
      <dgm:spPr/>
    </dgm:pt>
    <dgm:pt modelId="{945202BE-7D96-4DCC-AD6C-C47165EDE467}" type="pres">
      <dgm:prSet presAssocID="{08929CCC-F5A2-440F-AD81-2CD7A62317D4}" presName="rootText" presStyleLbl="node4" presStyleIdx="0" presStyleCnt="4">
        <dgm:presLayoutVars>
          <dgm:chPref val="3"/>
        </dgm:presLayoutVars>
      </dgm:prSet>
      <dgm:spPr/>
      <dgm:t>
        <a:bodyPr/>
        <a:lstStyle/>
        <a:p>
          <a:endParaRPr lang="en-AU"/>
        </a:p>
      </dgm:t>
    </dgm:pt>
    <dgm:pt modelId="{4E025BDF-7D28-4D6C-B1E5-EBE79380A094}" type="pres">
      <dgm:prSet presAssocID="{08929CCC-F5A2-440F-AD81-2CD7A62317D4}" presName="rootConnector" presStyleLbl="node4" presStyleIdx="0" presStyleCnt="4"/>
      <dgm:spPr/>
      <dgm:t>
        <a:bodyPr/>
        <a:lstStyle/>
        <a:p>
          <a:endParaRPr lang="en-AU"/>
        </a:p>
      </dgm:t>
    </dgm:pt>
    <dgm:pt modelId="{5DFCC0F6-92D7-4674-8352-39EDCB9D7D96}" type="pres">
      <dgm:prSet presAssocID="{08929CCC-F5A2-440F-AD81-2CD7A62317D4}" presName="hierChild4" presStyleCnt="0"/>
      <dgm:spPr/>
    </dgm:pt>
    <dgm:pt modelId="{6BFA58BD-F297-4CC8-B9D8-338C8014EA7B}" type="pres">
      <dgm:prSet presAssocID="{08929CCC-F5A2-440F-AD81-2CD7A62317D4}" presName="hierChild5" presStyleCnt="0"/>
      <dgm:spPr/>
    </dgm:pt>
    <dgm:pt modelId="{660876F7-8761-41FA-9A03-6AE31BBC24E5}" type="pres">
      <dgm:prSet presAssocID="{71FF66A4-D7E6-4677-B7CC-E8EECA60D33F}" presName="Name64" presStyleLbl="parChTrans1D4" presStyleIdx="1" presStyleCnt="4"/>
      <dgm:spPr/>
      <dgm:t>
        <a:bodyPr/>
        <a:lstStyle/>
        <a:p>
          <a:endParaRPr lang="en-AU"/>
        </a:p>
      </dgm:t>
    </dgm:pt>
    <dgm:pt modelId="{12300DDA-2309-43ED-B1B0-1369C230BBDF}" type="pres">
      <dgm:prSet presAssocID="{88C56762-488D-43F8-A4C6-5BD0C6E48B36}" presName="hierRoot2" presStyleCnt="0">
        <dgm:presLayoutVars>
          <dgm:hierBranch val="init"/>
        </dgm:presLayoutVars>
      </dgm:prSet>
      <dgm:spPr/>
    </dgm:pt>
    <dgm:pt modelId="{3E0C1725-C202-47D8-87DE-65FC9DC50F38}" type="pres">
      <dgm:prSet presAssocID="{88C56762-488D-43F8-A4C6-5BD0C6E48B36}" presName="rootComposite" presStyleCnt="0"/>
      <dgm:spPr/>
    </dgm:pt>
    <dgm:pt modelId="{2B9A413E-E230-47C8-9E56-92EC540D64B4}" type="pres">
      <dgm:prSet presAssocID="{88C56762-488D-43F8-A4C6-5BD0C6E48B36}" presName="rootText" presStyleLbl="node4" presStyleIdx="1" presStyleCnt="4">
        <dgm:presLayoutVars>
          <dgm:chPref val="3"/>
        </dgm:presLayoutVars>
      </dgm:prSet>
      <dgm:spPr/>
      <dgm:t>
        <a:bodyPr/>
        <a:lstStyle/>
        <a:p>
          <a:endParaRPr lang="en-AU"/>
        </a:p>
      </dgm:t>
    </dgm:pt>
    <dgm:pt modelId="{CE9772B6-75F2-4F50-BF0F-56673DBF4F6F}" type="pres">
      <dgm:prSet presAssocID="{88C56762-488D-43F8-A4C6-5BD0C6E48B36}" presName="rootConnector" presStyleLbl="node4" presStyleIdx="1" presStyleCnt="4"/>
      <dgm:spPr/>
      <dgm:t>
        <a:bodyPr/>
        <a:lstStyle/>
        <a:p>
          <a:endParaRPr lang="en-AU"/>
        </a:p>
      </dgm:t>
    </dgm:pt>
    <dgm:pt modelId="{CBA3CB8F-15DD-4131-BE54-C3558513A1E1}" type="pres">
      <dgm:prSet presAssocID="{88C56762-488D-43F8-A4C6-5BD0C6E48B36}" presName="hierChild4" presStyleCnt="0"/>
      <dgm:spPr/>
    </dgm:pt>
    <dgm:pt modelId="{BF9D0EA7-D745-43E5-98A4-48743C019A12}" type="pres">
      <dgm:prSet presAssocID="{8AB30F78-4033-412D-8B5B-7F28FCEA02CD}" presName="Name64" presStyleLbl="parChTrans1D4" presStyleIdx="2" presStyleCnt="4"/>
      <dgm:spPr/>
      <dgm:t>
        <a:bodyPr/>
        <a:lstStyle/>
        <a:p>
          <a:endParaRPr lang="en-AU"/>
        </a:p>
      </dgm:t>
    </dgm:pt>
    <dgm:pt modelId="{A2D46ECF-0BD9-4FFC-8CBE-596632C19CE6}" type="pres">
      <dgm:prSet presAssocID="{3DD36267-220F-45D9-AD7D-06BE40CD473F}" presName="hierRoot2" presStyleCnt="0">
        <dgm:presLayoutVars>
          <dgm:hierBranch val="init"/>
        </dgm:presLayoutVars>
      </dgm:prSet>
      <dgm:spPr/>
    </dgm:pt>
    <dgm:pt modelId="{624E7AB1-C764-40E5-A8C7-82D3A8ABF7C4}" type="pres">
      <dgm:prSet presAssocID="{3DD36267-220F-45D9-AD7D-06BE40CD473F}" presName="rootComposite" presStyleCnt="0"/>
      <dgm:spPr/>
    </dgm:pt>
    <dgm:pt modelId="{0517CE79-2C9E-4F51-A677-7BDE5B7DF192}" type="pres">
      <dgm:prSet presAssocID="{3DD36267-220F-45D9-AD7D-06BE40CD473F}" presName="rootText" presStyleLbl="node4" presStyleIdx="2" presStyleCnt="4">
        <dgm:presLayoutVars>
          <dgm:chPref val="3"/>
        </dgm:presLayoutVars>
      </dgm:prSet>
      <dgm:spPr/>
      <dgm:t>
        <a:bodyPr/>
        <a:lstStyle/>
        <a:p>
          <a:endParaRPr lang="en-AU"/>
        </a:p>
      </dgm:t>
    </dgm:pt>
    <dgm:pt modelId="{CD4D0865-565F-4ED1-9121-136460E6B461}" type="pres">
      <dgm:prSet presAssocID="{3DD36267-220F-45D9-AD7D-06BE40CD473F}" presName="rootConnector" presStyleLbl="node4" presStyleIdx="2" presStyleCnt="4"/>
      <dgm:spPr/>
      <dgm:t>
        <a:bodyPr/>
        <a:lstStyle/>
        <a:p>
          <a:endParaRPr lang="en-AU"/>
        </a:p>
      </dgm:t>
    </dgm:pt>
    <dgm:pt modelId="{A3180C4C-F761-41CF-A4E9-5A0D0E1FB72E}" type="pres">
      <dgm:prSet presAssocID="{3DD36267-220F-45D9-AD7D-06BE40CD473F}" presName="hierChild4" presStyleCnt="0"/>
      <dgm:spPr/>
    </dgm:pt>
    <dgm:pt modelId="{E600AD58-5AEC-4012-8A79-6B47F6B0E9E1}" type="pres">
      <dgm:prSet presAssocID="{3DD36267-220F-45D9-AD7D-06BE40CD473F}" presName="hierChild5" presStyleCnt="0"/>
      <dgm:spPr/>
    </dgm:pt>
    <dgm:pt modelId="{ED1DEDA1-4775-4410-8DEB-873CA554EE8F}" type="pres">
      <dgm:prSet presAssocID="{8BD92832-3514-4C42-A67D-C21482530EAA}" presName="Name64" presStyleLbl="parChTrans1D4" presStyleIdx="3" presStyleCnt="4"/>
      <dgm:spPr/>
      <dgm:t>
        <a:bodyPr/>
        <a:lstStyle/>
        <a:p>
          <a:endParaRPr lang="en-AU"/>
        </a:p>
      </dgm:t>
    </dgm:pt>
    <dgm:pt modelId="{ED6FF879-A79A-4F9D-B6DD-807116412983}" type="pres">
      <dgm:prSet presAssocID="{312A51CD-5F02-44D9-8C96-741181134332}" presName="hierRoot2" presStyleCnt="0">
        <dgm:presLayoutVars>
          <dgm:hierBranch val="init"/>
        </dgm:presLayoutVars>
      </dgm:prSet>
      <dgm:spPr/>
    </dgm:pt>
    <dgm:pt modelId="{04885CCD-FAC5-40EB-B592-3038BA08D09D}" type="pres">
      <dgm:prSet presAssocID="{312A51CD-5F02-44D9-8C96-741181134332}" presName="rootComposite" presStyleCnt="0"/>
      <dgm:spPr/>
    </dgm:pt>
    <dgm:pt modelId="{B942401D-73DF-487F-A805-656419E638CF}" type="pres">
      <dgm:prSet presAssocID="{312A51CD-5F02-44D9-8C96-741181134332}" presName="rootText" presStyleLbl="node4" presStyleIdx="3" presStyleCnt="4">
        <dgm:presLayoutVars>
          <dgm:chPref val="3"/>
        </dgm:presLayoutVars>
      </dgm:prSet>
      <dgm:spPr/>
      <dgm:t>
        <a:bodyPr/>
        <a:lstStyle/>
        <a:p>
          <a:endParaRPr lang="en-AU"/>
        </a:p>
      </dgm:t>
    </dgm:pt>
    <dgm:pt modelId="{385D2920-CC2F-4AF9-8094-F47941B88790}" type="pres">
      <dgm:prSet presAssocID="{312A51CD-5F02-44D9-8C96-741181134332}" presName="rootConnector" presStyleLbl="node4" presStyleIdx="3" presStyleCnt="4"/>
      <dgm:spPr/>
      <dgm:t>
        <a:bodyPr/>
        <a:lstStyle/>
        <a:p>
          <a:endParaRPr lang="en-AU"/>
        </a:p>
      </dgm:t>
    </dgm:pt>
    <dgm:pt modelId="{364D4374-0766-4B9D-8BE5-A6498592C8EC}" type="pres">
      <dgm:prSet presAssocID="{312A51CD-5F02-44D9-8C96-741181134332}" presName="hierChild4" presStyleCnt="0"/>
      <dgm:spPr/>
    </dgm:pt>
    <dgm:pt modelId="{48D882D9-FE7B-4FDC-A01C-C32AEA01AB2C}" type="pres">
      <dgm:prSet presAssocID="{312A51CD-5F02-44D9-8C96-741181134332}" presName="hierChild5" presStyleCnt="0"/>
      <dgm:spPr/>
    </dgm:pt>
    <dgm:pt modelId="{C9F42284-391A-441D-9907-EA76DFC9B248}" type="pres">
      <dgm:prSet presAssocID="{88C56762-488D-43F8-A4C6-5BD0C6E48B36}" presName="hierChild5" presStyleCnt="0"/>
      <dgm:spPr/>
    </dgm:pt>
    <dgm:pt modelId="{FA5826AC-A0F0-40E4-9CC4-4D7553D512B4}" type="pres">
      <dgm:prSet presAssocID="{F9EE907E-CBAD-4298-B6A0-8A237CDC84E8}" presName="hierChild5" presStyleCnt="0"/>
      <dgm:spPr/>
    </dgm:pt>
    <dgm:pt modelId="{542D6593-BB5B-4019-B4BE-BBC5B0F17004}" type="pres">
      <dgm:prSet presAssocID="{B8903A62-0ED2-40C2-9F94-0E6BF0C3A55E}" presName="hierChild5" presStyleCnt="0"/>
      <dgm:spPr/>
    </dgm:pt>
    <dgm:pt modelId="{C9CC228A-236E-493C-B231-8AD8294F54CC}" type="pres">
      <dgm:prSet presAssocID="{666A2010-B429-4325-A722-CD577FAAE21E}" presName="hierChild3" presStyleCnt="0"/>
      <dgm:spPr/>
    </dgm:pt>
  </dgm:ptLst>
  <dgm:cxnLst>
    <dgm:cxn modelId="{0430507B-6D0F-4E1F-8819-7392F7CCB28C}" type="presOf" srcId="{666A2010-B429-4325-A722-CD577FAAE21E}" destId="{469BC696-A8B4-46CC-A781-56ECF4FC45A0}" srcOrd="0" destOrd="0" presId="urn:microsoft.com/office/officeart/2009/3/layout/HorizontalOrganizationChart"/>
    <dgm:cxn modelId="{12F88042-6FD9-430A-927F-A8A48D66C295}" type="presOf" srcId="{F9EE907E-CBAD-4298-B6A0-8A237CDC84E8}" destId="{BA7F8164-9199-4ACE-BE67-DC4A4E806D36}" srcOrd="0" destOrd="0" presId="urn:microsoft.com/office/officeart/2009/3/layout/HorizontalOrganizationChart"/>
    <dgm:cxn modelId="{B70213D4-C654-4BFF-9D2A-E3D788F6980E}" type="presOf" srcId="{08929CCC-F5A2-440F-AD81-2CD7A62317D4}" destId="{945202BE-7D96-4DCC-AD6C-C47165EDE467}" srcOrd="0" destOrd="0" presId="urn:microsoft.com/office/officeart/2009/3/layout/HorizontalOrganizationChart"/>
    <dgm:cxn modelId="{2A265398-F5E5-4DB4-AE6B-D6A1243FB43C}" type="presOf" srcId="{88C56762-488D-43F8-A4C6-5BD0C6E48B36}" destId="{2B9A413E-E230-47C8-9E56-92EC540D64B4}" srcOrd="0" destOrd="0" presId="urn:microsoft.com/office/officeart/2009/3/layout/HorizontalOrganizationChart"/>
    <dgm:cxn modelId="{537D0B12-A235-4570-B4C3-2B3D82EA4C8C}" type="presOf" srcId="{71FF66A4-D7E6-4677-B7CC-E8EECA60D33F}" destId="{660876F7-8761-41FA-9A03-6AE31BBC24E5}" srcOrd="0" destOrd="0" presId="urn:microsoft.com/office/officeart/2009/3/layout/HorizontalOrganizationChart"/>
    <dgm:cxn modelId="{3A6204AB-8E60-422C-9D2C-D52B9FD14300}" type="presOf" srcId="{5F8C9879-67A1-48D1-9773-5EE9D430465E}" destId="{A9BA68BB-6454-45C3-8EC7-E3E76BCA95BE}" srcOrd="0" destOrd="0" presId="urn:microsoft.com/office/officeart/2009/3/layout/HorizontalOrganizationChart"/>
    <dgm:cxn modelId="{3365A97E-F605-474D-8B68-B00B7BA9F516}" type="presOf" srcId="{BD2CD421-0D7E-4009-8D8A-0A216B3EFA01}" destId="{B11BC737-8C63-44DD-8611-153688427039}" srcOrd="0" destOrd="0" presId="urn:microsoft.com/office/officeart/2009/3/layout/HorizontalOrganizationChart"/>
    <dgm:cxn modelId="{B76DD189-5202-4A31-9FFC-DC06520FB698}" srcId="{88C56762-488D-43F8-A4C6-5BD0C6E48B36}" destId="{3DD36267-220F-45D9-AD7D-06BE40CD473F}" srcOrd="0" destOrd="0" parTransId="{8AB30F78-4033-412D-8B5B-7F28FCEA02CD}" sibTransId="{42CD225E-8480-458B-A627-077B01B707D0}"/>
    <dgm:cxn modelId="{86D6888E-667D-4B98-B177-A6FE76B3EC96}" srcId="{DA7875A6-090D-451D-9E15-95EDE8B057E4}" destId="{666A2010-B429-4325-A722-CD577FAAE21E}" srcOrd="0" destOrd="0" parTransId="{97FD82CB-6B82-4C8C-A322-27C018E7B6AF}" sibTransId="{A79C8438-15E1-4C32-BE16-3E9D27BDF326}"/>
    <dgm:cxn modelId="{6C4C95C9-94A9-4019-8142-0B1B8342BD37}" type="presOf" srcId="{DA7875A6-090D-451D-9E15-95EDE8B057E4}" destId="{1CEC328F-76CA-48BF-A83B-D7A5552861F1}" srcOrd="0" destOrd="0" presId="urn:microsoft.com/office/officeart/2009/3/layout/HorizontalOrganizationChart"/>
    <dgm:cxn modelId="{EFA4DF1E-1193-456F-863F-E22F79C61B21}" type="presOf" srcId="{EE25F3D0-3737-4733-B490-4CEC36D2D021}" destId="{43DEAEDB-AFF3-4C45-BC22-40D36B55A714}" srcOrd="0" destOrd="0" presId="urn:microsoft.com/office/officeart/2009/3/layout/HorizontalOrganizationChart"/>
    <dgm:cxn modelId="{7FED93C2-BDAA-4C41-8367-2AC9913DFEEF}" type="presOf" srcId="{312A51CD-5F02-44D9-8C96-741181134332}" destId="{B942401D-73DF-487F-A805-656419E638CF}" srcOrd="0" destOrd="0" presId="urn:microsoft.com/office/officeart/2009/3/layout/HorizontalOrganizationChart"/>
    <dgm:cxn modelId="{19722562-F4B9-4A75-89D5-6E07CAA7C3D9}" type="presOf" srcId="{B8903A62-0ED2-40C2-9F94-0E6BF0C3A55E}" destId="{152B234C-4C5A-4DA4-A749-49C68C750C50}" srcOrd="0" destOrd="0" presId="urn:microsoft.com/office/officeart/2009/3/layout/HorizontalOrganizationChart"/>
    <dgm:cxn modelId="{2B788CB5-2258-4855-A2C7-277E49D7C3B5}" type="presOf" srcId="{F9EE907E-CBAD-4298-B6A0-8A237CDC84E8}" destId="{4D6DE9E4-7ED0-4194-BF65-9A0A3BC86F53}" srcOrd="1" destOrd="0" presId="urn:microsoft.com/office/officeart/2009/3/layout/HorizontalOrganizationChart"/>
    <dgm:cxn modelId="{2D422C6F-D990-4921-AB72-D76B2B88A00D}" type="presOf" srcId="{08929CCC-F5A2-440F-AD81-2CD7A62317D4}" destId="{4E025BDF-7D28-4D6C-B1E5-EBE79380A094}" srcOrd="1" destOrd="0" presId="urn:microsoft.com/office/officeart/2009/3/layout/HorizontalOrganizationChart"/>
    <dgm:cxn modelId="{8F1CF8E9-A6DF-4392-9C64-6B439D7B7F30}" type="presOf" srcId="{88C56762-488D-43F8-A4C6-5BD0C6E48B36}" destId="{CE9772B6-75F2-4F50-BF0F-56673DBF4F6F}" srcOrd="1" destOrd="0" presId="urn:microsoft.com/office/officeart/2009/3/layout/HorizontalOrganizationChart"/>
    <dgm:cxn modelId="{E088A66B-FB5A-40D0-B109-43D378FA9032}" type="presOf" srcId="{8AB30F78-4033-412D-8B5B-7F28FCEA02CD}" destId="{BF9D0EA7-D745-43E5-98A4-48743C019A12}" srcOrd="0" destOrd="0" presId="urn:microsoft.com/office/officeart/2009/3/layout/HorizontalOrganizationChart"/>
    <dgm:cxn modelId="{0A09ACD5-4740-4B78-8F06-95483BA154E2}" type="presOf" srcId="{43C175E1-01C6-4471-9FAD-38CEDC834DB4}" destId="{F45AAA93-8035-4195-883B-52C74202DED7}" srcOrd="0" destOrd="0" presId="urn:microsoft.com/office/officeart/2009/3/layout/HorizontalOrganizationChart"/>
    <dgm:cxn modelId="{A223314F-0D65-41EB-8DFA-AAE5A1B261CD}" srcId="{F9EE907E-CBAD-4298-B6A0-8A237CDC84E8}" destId="{88C56762-488D-43F8-A4C6-5BD0C6E48B36}" srcOrd="1" destOrd="0" parTransId="{71FF66A4-D7E6-4677-B7CC-E8EECA60D33F}" sibTransId="{A155FFD5-DBFB-4584-9D1C-061D45D06C52}"/>
    <dgm:cxn modelId="{96ADAC8B-DF13-45DF-B935-67F61D3B84D5}" type="presOf" srcId="{EE25F3D0-3737-4733-B490-4CEC36D2D021}" destId="{DD7C3698-B141-400D-A6C8-EDC57536DD65}" srcOrd="1" destOrd="0" presId="urn:microsoft.com/office/officeart/2009/3/layout/HorizontalOrganizationChart"/>
    <dgm:cxn modelId="{524D150D-9844-4B99-A57A-6CEAF5C9DD1B}" srcId="{B8903A62-0ED2-40C2-9F94-0E6BF0C3A55E}" destId="{F9EE907E-CBAD-4298-B6A0-8A237CDC84E8}" srcOrd="1" destOrd="0" parTransId="{08EF67A2-0524-4BAF-9D8E-C083EF790D71}" sibTransId="{69FE2D38-1C75-42B3-ABD6-6FCF55AF4B22}"/>
    <dgm:cxn modelId="{B5CDF49A-8A37-4CD3-A74F-BD49D44B37E5}" srcId="{B8903A62-0ED2-40C2-9F94-0E6BF0C3A55E}" destId="{43C175E1-01C6-4471-9FAD-38CEDC834DB4}" srcOrd="0" destOrd="0" parTransId="{BD2CD421-0D7E-4009-8D8A-0A216B3EFA01}" sibTransId="{5EA2FFBE-33EA-42D2-AEEF-91BF264DE929}"/>
    <dgm:cxn modelId="{487524BC-1F2D-44C8-8674-E6062942CFB3}" type="presOf" srcId="{3DD36267-220F-45D9-AD7D-06BE40CD473F}" destId="{CD4D0865-565F-4ED1-9121-136460E6B461}" srcOrd="1" destOrd="0" presId="urn:microsoft.com/office/officeart/2009/3/layout/HorizontalOrganizationChart"/>
    <dgm:cxn modelId="{6BEB03C7-9C64-4DCC-8975-88D3315A6FB3}" type="presOf" srcId="{312A51CD-5F02-44D9-8C96-741181134332}" destId="{385D2920-CC2F-4AF9-8094-F47941B88790}" srcOrd="1" destOrd="0" presId="urn:microsoft.com/office/officeart/2009/3/layout/HorizontalOrganizationChart"/>
    <dgm:cxn modelId="{866C237C-9AD8-436D-96D4-9EC404F58904}" type="presOf" srcId="{AEC4BF68-B34F-4847-B695-C9969E6F0043}" destId="{7F435706-04E1-479F-84B3-803525F2D943}" srcOrd="0" destOrd="0" presId="urn:microsoft.com/office/officeart/2009/3/layout/HorizontalOrganizationChart"/>
    <dgm:cxn modelId="{2CBB2E68-13EC-4517-83E8-CBF219278C37}" srcId="{666A2010-B429-4325-A722-CD577FAAE21E}" destId="{EE25F3D0-3737-4733-B490-4CEC36D2D021}" srcOrd="0" destOrd="0" parTransId="{5F8C9879-67A1-48D1-9773-5EE9D430465E}" sibTransId="{26701B1E-0DFB-4BDD-BCC1-2181A7DDCC02}"/>
    <dgm:cxn modelId="{72457F6D-E170-44AF-B11D-2044CE4DA759}" type="presOf" srcId="{C729C572-31CC-4CAE-8D9F-4F2AFE9F328B}" destId="{2D2551C6-A78D-4CC2-8A15-2192243C4C54}" srcOrd="0" destOrd="0" presId="urn:microsoft.com/office/officeart/2009/3/layout/HorizontalOrganizationChart"/>
    <dgm:cxn modelId="{8681D3C0-C274-4E94-97CA-7C5F9F34BEF9}" type="presOf" srcId="{B8903A62-0ED2-40C2-9F94-0E6BF0C3A55E}" destId="{16D5B21A-EA03-4E79-A840-0B948EB3F6EE}" srcOrd="1" destOrd="0" presId="urn:microsoft.com/office/officeart/2009/3/layout/HorizontalOrganizationChart"/>
    <dgm:cxn modelId="{D0B0521C-17C2-4D58-B01C-5799BD84B0BB}" srcId="{666A2010-B429-4325-A722-CD577FAAE21E}" destId="{B8903A62-0ED2-40C2-9F94-0E6BF0C3A55E}" srcOrd="1" destOrd="0" parTransId="{AEC4BF68-B34F-4847-B695-C9969E6F0043}" sibTransId="{8B6800D1-8F29-4428-923F-51BF2B48FF0F}"/>
    <dgm:cxn modelId="{A52D65F2-666D-45D8-A7D1-FC9E94E4FF4F}" type="presOf" srcId="{3DD36267-220F-45D9-AD7D-06BE40CD473F}" destId="{0517CE79-2C9E-4F51-A677-7BDE5B7DF192}" srcOrd="0" destOrd="0" presId="urn:microsoft.com/office/officeart/2009/3/layout/HorizontalOrganizationChart"/>
    <dgm:cxn modelId="{13566884-551B-4678-B011-7B00C7C24BC9}" type="presOf" srcId="{08EF67A2-0524-4BAF-9D8E-C083EF790D71}" destId="{520DACBF-F617-414E-BF77-B2D992B6E952}" srcOrd="0" destOrd="0" presId="urn:microsoft.com/office/officeart/2009/3/layout/HorizontalOrganizationChart"/>
    <dgm:cxn modelId="{72E80F02-3C30-4F67-BB2A-FCB7E898CBBB}" type="presOf" srcId="{666A2010-B429-4325-A722-CD577FAAE21E}" destId="{59406539-87B6-420E-871E-0EDA8574AEFF}" srcOrd="1" destOrd="0" presId="urn:microsoft.com/office/officeart/2009/3/layout/HorizontalOrganizationChart"/>
    <dgm:cxn modelId="{29E354DD-F2A2-4FDA-910C-856729681991}" srcId="{88C56762-488D-43F8-A4C6-5BD0C6E48B36}" destId="{312A51CD-5F02-44D9-8C96-741181134332}" srcOrd="1" destOrd="0" parTransId="{8BD92832-3514-4C42-A67D-C21482530EAA}" sibTransId="{CA49025A-C011-4AE2-B2DE-C1B596C391AE}"/>
    <dgm:cxn modelId="{50F7A8C2-CE19-4E42-9590-6B213E0A1994}" srcId="{F9EE907E-CBAD-4298-B6A0-8A237CDC84E8}" destId="{08929CCC-F5A2-440F-AD81-2CD7A62317D4}" srcOrd="0" destOrd="0" parTransId="{C729C572-31CC-4CAE-8D9F-4F2AFE9F328B}" sibTransId="{962CAD6B-631D-4615-BC32-A56BA5F7ADCA}"/>
    <dgm:cxn modelId="{D9D17B20-28E1-428E-AE6F-DA66A39800AE}" type="presOf" srcId="{8BD92832-3514-4C42-A67D-C21482530EAA}" destId="{ED1DEDA1-4775-4410-8DEB-873CA554EE8F}" srcOrd="0" destOrd="0" presId="urn:microsoft.com/office/officeart/2009/3/layout/HorizontalOrganizationChart"/>
    <dgm:cxn modelId="{D8A28BB3-EC46-446E-849F-9076158B8E5F}" type="presOf" srcId="{43C175E1-01C6-4471-9FAD-38CEDC834DB4}" destId="{BB9EE668-AA23-4013-B6A5-004F32599EF9}" srcOrd="1" destOrd="0" presId="urn:microsoft.com/office/officeart/2009/3/layout/HorizontalOrganizationChart"/>
    <dgm:cxn modelId="{793252B6-281D-4D3A-BF44-B31CC1F82B71}" type="presParOf" srcId="{1CEC328F-76CA-48BF-A83B-D7A5552861F1}" destId="{F7B8CEBA-0C79-44CD-838A-2FED1290FCA6}" srcOrd="0" destOrd="0" presId="urn:microsoft.com/office/officeart/2009/3/layout/HorizontalOrganizationChart"/>
    <dgm:cxn modelId="{73F0238B-7A5B-4E15-8CC5-4BBC7009C91E}" type="presParOf" srcId="{F7B8CEBA-0C79-44CD-838A-2FED1290FCA6}" destId="{D8A7C144-99EF-4F28-A5D9-9CFFAC67A402}" srcOrd="0" destOrd="0" presId="urn:microsoft.com/office/officeart/2009/3/layout/HorizontalOrganizationChart"/>
    <dgm:cxn modelId="{4FACB08A-0C21-4E8D-8869-2BFBC697344D}" type="presParOf" srcId="{D8A7C144-99EF-4F28-A5D9-9CFFAC67A402}" destId="{469BC696-A8B4-46CC-A781-56ECF4FC45A0}" srcOrd="0" destOrd="0" presId="urn:microsoft.com/office/officeart/2009/3/layout/HorizontalOrganizationChart"/>
    <dgm:cxn modelId="{E1414662-DCB7-4E07-AFE4-CB43CB7F776E}" type="presParOf" srcId="{D8A7C144-99EF-4F28-A5D9-9CFFAC67A402}" destId="{59406539-87B6-420E-871E-0EDA8574AEFF}" srcOrd="1" destOrd="0" presId="urn:microsoft.com/office/officeart/2009/3/layout/HorizontalOrganizationChart"/>
    <dgm:cxn modelId="{5B01D568-5E74-42AA-83C5-F454C23C4FFF}" type="presParOf" srcId="{F7B8CEBA-0C79-44CD-838A-2FED1290FCA6}" destId="{334D5A28-AF84-4D34-A2C5-54D7C3B04928}" srcOrd="1" destOrd="0" presId="urn:microsoft.com/office/officeart/2009/3/layout/HorizontalOrganizationChart"/>
    <dgm:cxn modelId="{6707637D-2B4C-4B52-BEEE-CE6A85125256}" type="presParOf" srcId="{334D5A28-AF84-4D34-A2C5-54D7C3B04928}" destId="{A9BA68BB-6454-45C3-8EC7-E3E76BCA95BE}" srcOrd="0" destOrd="0" presId="urn:microsoft.com/office/officeart/2009/3/layout/HorizontalOrganizationChart"/>
    <dgm:cxn modelId="{9A8694BC-19A0-4CC4-80ED-0427F1349431}" type="presParOf" srcId="{334D5A28-AF84-4D34-A2C5-54D7C3B04928}" destId="{2A2AE014-A253-4DD6-BE17-78CC5E73CD06}" srcOrd="1" destOrd="0" presId="urn:microsoft.com/office/officeart/2009/3/layout/HorizontalOrganizationChart"/>
    <dgm:cxn modelId="{5928AFA3-285B-4AC0-886A-8DD791A7686D}" type="presParOf" srcId="{2A2AE014-A253-4DD6-BE17-78CC5E73CD06}" destId="{F4064FE4-E2E7-4934-BC3E-0689AEA8D278}" srcOrd="0" destOrd="0" presId="urn:microsoft.com/office/officeart/2009/3/layout/HorizontalOrganizationChart"/>
    <dgm:cxn modelId="{0A48DADE-F31A-421F-A317-7ACF69D22399}" type="presParOf" srcId="{F4064FE4-E2E7-4934-BC3E-0689AEA8D278}" destId="{43DEAEDB-AFF3-4C45-BC22-40D36B55A714}" srcOrd="0" destOrd="0" presId="urn:microsoft.com/office/officeart/2009/3/layout/HorizontalOrganizationChart"/>
    <dgm:cxn modelId="{5C77AC77-3289-4B4B-8105-B6EF4DCD23E7}" type="presParOf" srcId="{F4064FE4-E2E7-4934-BC3E-0689AEA8D278}" destId="{DD7C3698-B141-400D-A6C8-EDC57536DD65}" srcOrd="1" destOrd="0" presId="urn:microsoft.com/office/officeart/2009/3/layout/HorizontalOrganizationChart"/>
    <dgm:cxn modelId="{2EDB53CB-4EA4-4CA0-B582-85B9C426AA9A}" type="presParOf" srcId="{2A2AE014-A253-4DD6-BE17-78CC5E73CD06}" destId="{326E268B-1B4F-49D6-8CE3-D051391767C2}" srcOrd="1" destOrd="0" presId="urn:microsoft.com/office/officeart/2009/3/layout/HorizontalOrganizationChart"/>
    <dgm:cxn modelId="{5A8A971B-FC12-45D2-8B96-8721164C11DE}" type="presParOf" srcId="{2A2AE014-A253-4DD6-BE17-78CC5E73CD06}" destId="{20A5362C-060C-436B-B727-CCF242158E74}" srcOrd="2" destOrd="0" presId="urn:microsoft.com/office/officeart/2009/3/layout/HorizontalOrganizationChart"/>
    <dgm:cxn modelId="{D05AFA06-6466-4CD3-8070-52B692AF4895}" type="presParOf" srcId="{334D5A28-AF84-4D34-A2C5-54D7C3B04928}" destId="{7F435706-04E1-479F-84B3-803525F2D943}" srcOrd="2" destOrd="0" presId="urn:microsoft.com/office/officeart/2009/3/layout/HorizontalOrganizationChart"/>
    <dgm:cxn modelId="{65E0A5B0-F146-4F07-B573-988CFA8C15FE}" type="presParOf" srcId="{334D5A28-AF84-4D34-A2C5-54D7C3B04928}" destId="{4586361E-E03C-49E0-8980-FA62EB942BB9}" srcOrd="3" destOrd="0" presId="urn:microsoft.com/office/officeart/2009/3/layout/HorizontalOrganizationChart"/>
    <dgm:cxn modelId="{8BB28789-247D-4479-B2D8-741EE756A904}" type="presParOf" srcId="{4586361E-E03C-49E0-8980-FA62EB942BB9}" destId="{7C0AAE0D-7C92-447E-AB7D-7D1F9B487042}" srcOrd="0" destOrd="0" presId="urn:microsoft.com/office/officeart/2009/3/layout/HorizontalOrganizationChart"/>
    <dgm:cxn modelId="{8CCE6DCD-915B-4F0C-8D29-E1F4389DF38F}" type="presParOf" srcId="{7C0AAE0D-7C92-447E-AB7D-7D1F9B487042}" destId="{152B234C-4C5A-4DA4-A749-49C68C750C50}" srcOrd="0" destOrd="0" presId="urn:microsoft.com/office/officeart/2009/3/layout/HorizontalOrganizationChart"/>
    <dgm:cxn modelId="{EE61BFE7-21CE-4BA0-A25C-8A3E687108D5}" type="presParOf" srcId="{7C0AAE0D-7C92-447E-AB7D-7D1F9B487042}" destId="{16D5B21A-EA03-4E79-A840-0B948EB3F6EE}" srcOrd="1" destOrd="0" presId="urn:microsoft.com/office/officeart/2009/3/layout/HorizontalOrganizationChart"/>
    <dgm:cxn modelId="{9419DF05-CED0-48AF-8734-32131FF991E1}" type="presParOf" srcId="{4586361E-E03C-49E0-8980-FA62EB942BB9}" destId="{BD690A1B-E1C1-420D-AFD5-00847E413F5B}" srcOrd="1" destOrd="0" presId="urn:microsoft.com/office/officeart/2009/3/layout/HorizontalOrganizationChart"/>
    <dgm:cxn modelId="{67397AEC-A796-4FFC-B6C9-5E80AB13C048}" type="presParOf" srcId="{BD690A1B-E1C1-420D-AFD5-00847E413F5B}" destId="{B11BC737-8C63-44DD-8611-153688427039}" srcOrd="0" destOrd="0" presId="urn:microsoft.com/office/officeart/2009/3/layout/HorizontalOrganizationChart"/>
    <dgm:cxn modelId="{17AB0CC0-4458-47EC-AADE-97C531CBA472}" type="presParOf" srcId="{BD690A1B-E1C1-420D-AFD5-00847E413F5B}" destId="{8DA97BA7-AF0E-4F29-84C9-7B14F79C5E01}" srcOrd="1" destOrd="0" presId="urn:microsoft.com/office/officeart/2009/3/layout/HorizontalOrganizationChart"/>
    <dgm:cxn modelId="{2A300898-6D5F-4A21-9238-6A2E0781F639}" type="presParOf" srcId="{8DA97BA7-AF0E-4F29-84C9-7B14F79C5E01}" destId="{FEB87236-5949-47A5-A747-799606146B07}" srcOrd="0" destOrd="0" presId="urn:microsoft.com/office/officeart/2009/3/layout/HorizontalOrganizationChart"/>
    <dgm:cxn modelId="{914F2CF5-E781-4A2D-ABF3-C6EF8F6D9F86}" type="presParOf" srcId="{FEB87236-5949-47A5-A747-799606146B07}" destId="{F45AAA93-8035-4195-883B-52C74202DED7}" srcOrd="0" destOrd="0" presId="urn:microsoft.com/office/officeart/2009/3/layout/HorizontalOrganizationChart"/>
    <dgm:cxn modelId="{6E18561A-FF8A-4147-AD41-91D0F6BE2DC0}" type="presParOf" srcId="{FEB87236-5949-47A5-A747-799606146B07}" destId="{BB9EE668-AA23-4013-B6A5-004F32599EF9}" srcOrd="1" destOrd="0" presId="urn:microsoft.com/office/officeart/2009/3/layout/HorizontalOrganizationChart"/>
    <dgm:cxn modelId="{99F251A5-AB99-4360-831E-FFE75419BA63}" type="presParOf" srcId="{8DA97BA7-AF0E-4F29-84C9-7B14F79C5E01}" destId="{F2449D3B-B709-4D56-8555-895A8F9BB8AF}" srcOrd="1" destOrd="0" presId="urn:microsoft.com/office/officeart/2009/3/layout/HorizontalOrganizationChart"/>
    <dgm:cxn modelId="{656F0A2F-A062-4BD3-B6A0-4363DEA815F0}" type="presParOf" srcId="{8DA97BA7-AF0E-4F29-84C9-7B14F79C5E01}" destId="{B36A2CF3-6C55-4176-8D0E-FB6891F37086}" srcOrd="2" destOrd="0" presId="urn:microsoft.com/office/officeart/2009/3/layout/HorizontalOrganizationChart"/>
    <dgm:cxn modelId="{3ED0B1BE-034B-41A0-BABC-F53AC784FA69}" type="presParOf" srcId="{BD690A1B-E1C1-420D-AFD5-00847E413F5B}" destId="{520DACBF-F617-414E-BF77-B2D992B6E952}" srcOrd="2" destOrd="0" presId="urn:microsoft.com/office/officeart/2009/3/layout/HorizontalOrganizationChart"/>
    <dgm:cxn modelId="{3B37856F-6622-4CB7-A64F-12FFE9F2CCEC}" type="presParOf" srcId="{BD690A1B-E1C1-420D-AFD5-00847E413F5B}" destId="{D8B0CA19-3D0F-4730-B4E0-11C59F1EC40C}" srcOrd="3" destOrd="0" presId="urn:microsoft.com/office/officeart/2009/3/layout/HorizontalOrganizationChart"/>
    <dgm:cxn modelId="{6D283852-E9A9-4D24-8B37-CEBDF4E2D30C}" type="presParOf" srcId="{D8B0CA19-3D0F-4730-B4E0-11C59F1EC40C}" destId="{F481F716-F93A-4715-9235-2E40DB7347C2}" srcOrd="0" destOrd="0" presId="urn:microsoft.com/office/officeart/2009/3/layout/HorizontalOrganizationChart"/>
    <dgm:cxn modelId="{996AA768-0A3A-4E2B-A778-0DDCFFC17FC2}" type="presParOf" srcId="{F481F716-F93A-4715-9235-2E40DB7347C2}" destId="{BA7F8164-9199-4ACE-BE67-DC4A4E806D36}" srcOrd="0" destOrd="0" presId="urn:microsoft.com/office/officeart/2009/3/layout/HorizontalOrganizationChart"/>
    <dgm:cxn modelId="{2F610B5B-76D7-4BD2-B10B-6D12FC2A77FF}" type="presParOf" srcId="{F481F716-F93A-4715-9235-2E40DB7347C2}" destId="{4D6DE9E4-7ED0-4194-BF65-9A0A3BC86F53}" srcOrd="1" destOrd="0" presId="urn:microsoft.com/office/officeart/2009/3/layout/HorizontalOrganizationChart"/>
    <dgm:cxn modelId="{90340C84-93A7-4148-8C36-97DDC065EA6A}" type="presParOf" srcId="{D8B0CA19-3D0F-4730-B4E0-11C59F1EC40C}" destId="{082009A5-18B8-4C64-A1F7-413B2E12B486}" srcOrd="1" destOrd="0" presId="urn:microsoft.com/office/officeart/2009/3/layout/HorizontalOrganizationChart"/>
    <dgm:cxn modelId="{FBB6CCFC-E5F3-44AC-B272-C3E94CB22DD0}" type="presParOf" srcId="{082009A5-18B8-4C64-A1F7-413B2E12B486}" destId="{2D2551C6-A78D-4CC2-8A15-2192243C4C54}" srcOrd="0" destOrd="0" presId="urn:microsoft.com/office/officeart/2009/3/layout/HorizontalOrganizationChart"/>
    <dgm:cxn modelId="{26FFE1B7-38AD-43CA-80A2-EC78910CDABE}" type="presParOf" srcId="{082009A5-18B8-4C64-A1F7-413B2E12B486}" destId="{001FEFE6-FB63-453E-A891-8AED821148E4}" srcOrd="1" destOrd="0" presId="urn:microsoft.com/office/officeart/2009/3/layout/HorizontalOrganizationChart"/>
    <dgm:cxn modelId="{F716650E-567D-4E3F-8D35-00C62B966C10}" type="presParOf" srcId="{001FEFE6-FB63-453E-A891-8AED821148E4}" destId="{F1F9A34C-241D-41CF-B1B8-C5A6F76D223E}" srcOrd="0" destOrd="0" presId="urn:microsoft.com/office/officeart/2009/3/layout/HorizontalOrganizationChart"/>
    <dgm:cxn modelId="{59F9CF8D-CEA8-4B12-A83A-C9EC7802C0E2}" type="presParOf" srcId="{F1F9A34C-241D-41CF-B1B8-C5A6F76D223E}" destId="{945202BE-7D96-4DCC-AD6C-C47165EDE467}" srcOrd="0" destOrd="0" presId="urn:microsoft.com/office/officeart/2009/3/layout/HorizontalOrganizationChart"/>
    <dgm:cxn modelId="{B3A72E0D-333E-465B-9F9C-44EC85AB6F43}" type="presParOf" srcId="{F1F9A34C-241D-41CF-B1B8-C5A6F76D223E}" destId="{4E025BDF-7D28-4D6C-B1E5-EBE79380A094}" srcOrd="1" destOrd="0" presId="urn:microsoft.com/office/officeart/2009/3/layout/HorizontalOrganizationChart"/>
    <dgm:cxn modelId="{B92E8EED-F805-4810-A5FF-4E26E7E612A6}" type="presParOf" srcId="{001FEFE6-FB63-453E-A891-8AED821148E4}" destId="{5DFCC0F6-92D7-4674-8352-39EDCB9D7D96}" srcOrd="1" destOrd="0" presId="urn:microsoft.com/office/officeart/2009/3/layout/HorizontalOrganizationChart"/>
    <dgm:cxn modelId="{ECC9571A-C61E-4CCB-BB6A-9DD5DBD6D381}" type="presParOf" srcId="{001FEFE6-FB63-453E-A891-8AED821148E4}" destId="{6BFA58BD-F297-4CC8-B9D8-338C8014EA7B}" srcOrd="2" destOrd="0" presId="urn:microsoft.com/office/officeart/2009/3/layout/HorizontalOrganizationChart"/>
    <dgm:cxn modelId="{84AABE18-FB8A-4A28-BD47-DDC9F9CCAEF1}" type="presParOf" srcId="{082009A5-18B8-4C64-A1F7-413B2E12B486}" destId="{660876F7-8761-41FA-9A03-6AE31BBC24E5}" srcOrd="2" destOrd="0" presId="urn:microsoft.com/office/officeart/2009/3/layout/HorizontalOrganizationChart"/>
    <dgm:cxn modelId="{9302F814-699D-4CEC-9288-D802774E5D6A}" type="presParOf" srcId="{082009A5-18B8-4C64-A1F7-413B2E12B486}" destId="{12300DDA-2309-43ED-B1B0-1369C230BBDF}" srcOrd="3" destOrd="0" presId="urn:microsoft.com/office/officeart/2009/3/layout/HorizontalOrganizationChart"/>
    <dgm:cxn modelId="{86298837-C801-4318-A71D-EE7310FDF1E3}" type="presParOf" srcId="{12300DDA-2309-43ED-B1B0-1369C230BBDF}" destId="{3E0C1725-C202-47D8-87DE-65FC9DC50F38}" srcOrd="0" destOrd="0" presId="urn:microsoft.com/office/officeart/2009/3/layout/HorizontalOrganizationChart"/>
    <dgm:cxn modelId="{A6E753D4-7271-40A9-904C-6E3873D2483B}" type="presParOf" srcId="{3E0C1725-C202-47D8-87DE-65FC9DC50F38}" destId="{2B9A413E-E230-47C8-9E56-92EC540D64B4}" srcOrd="0" destOrd="0" presId="urn:microsoft.com/office/officeart/2009/3/layout/HorizontalOrganizationChart"/>
    <dgm:cxn modelId="{CF3AD217-183E-4325-A328-625B58379949}" type="presParOf" srcId="{3E0C1725-C202-47D8-87DE-65FC9DC50F38}" destId="{CE9772B6-75F2-4F50-BF0F-56673DBF4F6F}" srcOrd="1" destOrd="0" presId="urn:microsoft.com/office/officeart/2009/3/layout/HorizontalOrganizationChart"/>
    <dgm:cxn modelId="{9E468B54-38F7-414F-B352-B8948BD6CE08}" type="presParOf" srcId="{12300DDA-2309-43ED-B1B0-1369C230BBDF}" destId="{CBA3CB8F-15DD-4131-BE54-C3558513A1E1}" srcOrd="1" destOrd="0" presId="urn:microsoft.com/office/officeart/2009/3/layout/HorizontalOrganizationChart"/>
    <dgm:cxn modelId="{EB395326-AF97-4422-8F41-A55DFB9EE84A}" type="presParOf" srcId="{CBA3CB8F-15DD-4131-BE54-C3558513A1E1}" destId="{BF9D0EA7-D745-43E5-98A4-48743C019A12}" srcOrd="0" destOrd="0" presId="urn:microsoft.com/office/officeart/2009/3/layout/HorizontalOrganizationChart"/>
    <dgm:cxn modelId="{C2E658EE-9CEE-4F9A-B2F2-46153FEC503D}" type="presParOf" srcId="{CBA3CB8F-15DD-4131-BE54-C3558513A1E1}" destId="{A2D46ECF-0BD9-4FFC-8CBE-596632C19CE6}" srcOrd="1" destOrd="0" presId="urn:microsoft.com/office/officeart/2009/3/layout/HorizontalOrganizationChart"/>
    <dgm:cxn modelId="{4E10ADC6-03CB-4483-A220-F61C7ECD2751}" type="presParOf" srcId="{A2D46ECF-0BD9-4FFC-8CBE-596632C19CE6}" destId="{624E7AB1-C764-40E5-A8C7-82D3A8ABF7C4}" srcOrd="0" destOrd="0" presId="urn:microsoft.com/office/officeart/2009/3/layout/HorizontalOrganizationChart"/>
    <dgm:cxn modelId="{82512198-B52B-42F9-A164-38CC3081EB59}" type="presParOf" srcId="{624E7AB1-C764-40E5-A8C7-82D3A8ABF7C4}" destId="{0517CE79-2C9E-4F51-A677-7BDE5B7DF192}" srcOrd="0" destOrd="0" presId="urn:microsoft.com/office/officeart/2009/3/layout/HorizontalOrganizationChart"/>
    <dgm:cxn modelId="{A0CF48ED-A89A-4D20-81A7-D9F284FB9EC0}" type="presParOf" srcId="{624E7AB1-C764-40E5-A8C7-82D3A8ABF7C4}" destId="{CD4D0865-565F-4ED1-9121-136460E6B461}" srcOrd="1" destOrd="0" presId="urn:microsoft.com/office/officeart/2009/3/layout/HorizontalOrganizationChart"/>
    <dgm:cxn modelId="{6427A6C6-22E1-4A28-BADD-21A39FA479D5}" type="presParOf" srcId="{A2D46ECF-0BD9-4FFC-8CBE-596632C19CE6}" destId="{A3180C4C-F761-41CF-A4E9-5A0D0E1FB72E}" srcOrd="1" destOrd="0" presId="urn:microsoft.com/office/officeart/2009/3/layout/HorizontalOrganizationChart"/>
    <dgm:cxn modelId="{9351169C-801D-422B-80BC-69AD63133097}" type="presParOf" srcId="{A2D46ECF-0BD9-4FFC-8CBE-596632C19CE6}" destId="{E600AD58-5AEC-4012-8A79-6B47F6B0E9E1}" srcOrd="2" destOrd="0" presId="urn:microsoft.com/office/officeart/2009/3/layout/HorizontalOrganizationChart"/>
    <dgm:cxn modelId="{A4EE77F2-C1F7-4704-BD76-AA0A93FF9AB4}" type="presParOf" srcId="{CBA3CB8F-15DD-4131-BE54-C3558513A1E1}" destId="{ED1DEDA1-4775-4410-8DEB-873CA554EE8F}" srcOrd="2" destOrd="0" presId="urn:microsoft.com/office/officeart/2009/3/layout/HorizontalOrganizationChart"/>
    <dgm:cxn modelId="{E25BDCAA-3EEC-434C-A8C4-EAED9E2AA83B}" type="presParOf" srcId="{CBA3CB8F-15DD-4131-BE54-C3558513A1E1}" destId="{ED6FF879-A79A-4F9D-B6DD-807116412983}" srcOrd="3" destOrd="0" presId="urn:microsoft.com/office/officeart/2009/3/layout/HorizontalOrganizationChart"/>
    <dgm:cxn modelId="{A35AA515-B867-43E3-ACC4-388E48669A70}" type="presParOf" srcId="{ED6FF879-A79A-4F9D-B6DD-807116412983}" destId="{04885CCD-FAC5-40EB-B592-3038BA08D09D}" srcOrd="0" destOrd="0" presId="urn:microsoft.com/office/officeart/2009/3/layout/HorizontalOrganizationChart"/>
    <dgm:cxn modelId="{68E8347F-CEFF-4F0D-93D6-ED4637DAA939}" type="presParOf" srcId="{04885CCD-FAC5-40EB-B592-3038BA08D09D}" destId="{B942401D-73DF-487F-A805-656419E638CF}" srcOrd="0" destOrd="0" presId="urn:microsoft.com/office/officeart/2009/3/layout/HorizontalOrganizationChart"/>
    <dgm:cxn modelId="{AF124406-6E91-4BF8-B78A-E6E45BC192CC}" type="presParOf" srcId="{04885CCD-FAC5-40EB-B592-3038BA08D09D}" destId="{385D2920-CC2F-4AF9-8094-F47941B88790}" srcOrd="1" destOrd="0" presId="urn:microsoft.com/office/officeart/2009/3/layout/HorizontalOrganizationChart"/>
    <dgm:cxn modelId="{AA32C212-197A-4889-9E87-B98DB4674C6E}" type="presParOf" srcId="{ED6FF879-A79A-4F9D-B6DD-807116412983}" destId="{364D4374-0766-4B9D-8BE5-A6498592C8EC}" srcOrd="1" destOrd="0" presId="urn:microsoft.com/office/officeart/2009/3/layout/HorizontalOrganizationChart"/>
    <dgm:cxn modelId="{111278FA-9B38-4561-B704-C70A0DBB91A2}" type="presParOf" srcId="{ED6FF879-A79A-4F9D-B6DD-807116412983}" destId="{48D882D9-FE7B-4FDC-A01C-C32AEA01AB2C}" srcOrd="2" destOrd="0" presId="urn:microsoft.com/office/officeart/2009/3/layout/HorizontalOrganizationChart"/>
    <dgm:cxn modelId="{BC8AEAD5-9031-46C9-B7C6-5ACE4E9AA5A2}" type="presParOf" srcId="{12300DDA-2309-43ED-B1B0-1369C230BBDF}" destId="{C9F42284-391A-441D-9907-EA76DFC9B248}" srcOrd="2" destOrd="0" presId="urn:microsoft.com/office/officeart/2009/3/layout/HorizontalOrganizationChart"/>
    <dgm:cxn modelId="{FBE1EE67-766F-4CA8-8893-03F30D87E888}" type="presParOf" srcId="{D8B0CA19-3D0F-4730-B4E0-11C59F1EC40C}" destId="{FA5826AC-A0F0-40E4-9CC4-4D7553D512B4}" srcOrd="2" destOrd="0" presId="urn:microsoft.com/office/officeart/2009/3/layout/HorizontalOrganizationChart"/>
    <dgm:cxn modelId="{26F6DFC3-9E44-447E-AD18-BD17705C4455}" type="presParOf" srcId="{4586361E-E03C-49E0-8980-FA62EB942BB9}" destId="{542D6593-BB5B-4019-B4BE-BBC5B0F17004}" srcOrd="2" destOrd="0" presId="urn:microsoft.com/office/officeart/2009/3/layout/HorizontalOrganizationChart"/>
    <dgm:cxn modelId="{6BC86625-BE9E-4EB0-8659-C28E1FB31D24}" type="presParOf" srcId="{F7B8CEBA-0C79-44CD-838A-2FED1290FCA6}" destId="{C9CC228A-236E-493C-B231-8AD8294F54CC}" srcOrd="2" destOrd="0" presId="urn:microsoft.com/office/officeart/2009/3/layout/HorizontalOrganizationChart"/>
  </dgm:cxnLst>
  <dgm:bg/>
  <dgm:whole/>
  <dgm:extLst>
    <a:ext uri="http://schemas.microsoft.com/office/drawing/2008/diagram">
      <dsp:dataModelExt xmlns:dsp="http://schemas.microsoft.com/office/drawing/2008/diagram" xmlns="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a="http://schemas.openxmlformats.org/drawingml/2006/main" xmlns:dsp="http://schemas.microsoft.com/office/drawing/2008/diagram">
  <dsp:spTree>
    <dsp:nvGrpSpPr>
      <dsp:cNvPr id="0" name=""/>
      <dsp:cNvGrpSpPr/>
    </dsp:nvGrpSpPr>
    <dsp:grpSpPr/>
    <dsp:sp modelId="{ED1DEDA1-4775-4410-8DEB-873CA554EE8F}">
      <dsp:nvSpPr>
        <dsp:cNvPr id="0" name=""/>
        <dsp:cNvSpPr/>
      </dsp:nvSpPr>
      <dsp:spPr>
        <a:xfrm>
          <a:off x="4892101" y="1333209"/>
          <a:ext cx="212470" cy="22840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06235" y="0"/>
              </a:lnTo>
              <a:lnTo>
                <a:pt x="106235" y="228406"/>
              </a:lnTo>
              <a:lnTo>
                <a:pt x="212470" y="228406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F9D0EA7-D745-43E5-98A4-48743C019A12}">
      <dsp:nvSpPr>
        <dsp:cNvPr id="0" name=""/>
        <dsp:cNvSpPr/>
      </dsp:nvSpPr>
      <dsp:spPr>
        <a:xfrm>
          <a:off x="4892101" y="1104803"/>
          <a:ext cx="212470" cy="228406"/>
        </a:xfrm>
        <a:custGeom>
          <a:avLst/>
          <a:gdLst/>
          <a:ahLst/>
          <a:cxnLst/>
          <a:rect l="0" t="0" r="0" b="0"/>
          <a:pathLst>
            <a:path>
              <a:moveTo>
                <a:pt x="0" y="228406"/>
              </a:moveTo>
              <a:lnTo>
                <a:pt x="106235" y="228406"/>
              </a:lnTo>
              <a:lnTo>
                <a:pt x="106235" y="0"/>
              </a:lnTo>
              <a:lnTo>
                <a:pt x="212470" y="0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60876F7-8761-41FA-9A03-6AE31BBC24E5}">
      <dsp:nvSpPr>
        <dsp:cNvPr id="0" name=""/>
        <dsp:cNvSpPr/>
      </dsp:nvSpPr>
      <dsp:spPr>
        <a:xfrm>
          <a:off x="3617276" y="1104803"/>
          <a:ext cx="212470" cy="22840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06235" y="0"/>
              </a:lnTo>
              <a:lnTo>
                <a:pt x="106235" y="228406"/>
              </a:lnTo>
              <a:lnTo>
                <a:pt x="212470" y="228406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D2551C6-A78D-4CC2-8A15-2192243C4C54}">
      <dsp:nvSpPr>
        <dsp:cNvPr id="0" name=""/>
        <dsp:cNvSpPr/>
      </dsp:nvSpPr>
      <dsp:spPr>
        <a:xfrm>
          <a:off x="3617276" y="876396"/>
          <a:ext cx="212470" cy="228406"/>
        </a:xfrm>
        <a:custGeom>
          <a:avLst/>
          <a:gdLst/>
          <a:ahLst/>
          <a:cxnLst/>
          <a:rect l="0" t="0" r="0" b="0"/>
          <a:pathLst>
            <a:path>
              <a:moveTo>
                <a:pt x="0" y="228406"/>
              </a:moveTo>
              <a:lnTo>
                <a:pt x="106235" y="228406"/>
              </a:lnTo>
              <a:lnTo>
                <a:pt x="106235" y="0"/>
              </a:lnTo>
              <a:lnTo>
                <a:pt x="212470" y="0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20DACBF-F617-414E-BF77-B2D992B6E952}">
      <dsp:nvSpPr>
        <dsp:cNvPr id="0" name=""/>
        <dsp:cNvSpPr/>
      </dsp:nvSpPr>
      <dsp:spPr>
        <a:xfrm>
          <a:off x="2342452" y="876396"/>
          <a:ext cx="212470" cy="22840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06235" y="0"/>
              </a:lnTo>
              <a:lnTo>
                <a:pt x="106235" y="228406"/>
              </a:lnTo>
              <a:lnTo>
                <a:pt x="212470" y="228406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11BC737-8C63-44DD-8611-153688427039}">
      <dsp:nvSpPr>
        <dsp:cNvPr id="0" name=""/>
        <dsp:cNvSpPr/>
      </dsp:nvSpPr>
      <dsp:spPr>
        <a:xfrm>
          <a:off x="2342452" y="647990"/>
          <a:ext cx="212470" cy="228406"/>
        </a:xfrm>
        <a:custGeom>
          <a:avLst/>
          <a:gdLst/>
          <a:ahLst/>
          <a:cxnLst/>
          <a:rect l="0" t="0" r="0" b="0"/>
          <a:pathLst>
            <a:path>
              <a:moveTo>
                <a:pt x="0" y="228406"/>
              </a:moveTo>
              <a:lnTo>
                <a:pt x="106235" y="228406"/>
              </a:lnTo>
              <a:lnTo>
                <a:pt x="106235" y="0"/>
              </a:lnTo>
              <a:lnTo>
                <a:pt x="212470" y="0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F435706-04E1-479F-84B3-803525F2D943}">
      <dsp:nvSpPr>
        <dsp:cNvPr id="0" name=""/>
        <dsp:cNvSpPr/>
      </dsp:nvSpPr>
      <dsp:spPr>
        <a:xfrm>
          <a:off x="1067627" y="647990"/>
          <a:ext cx="212470" cy="22840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06235" y="0"/>
              </a:lnTo>
              <a:lnTo>
                <a:pt x="106235" y="228406"/>
              </a:lnTo>
              <a:lnTo>
                <a:pt x="212470" y="228406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9BA68BB-6454-45C3-8EC7-E3E76BCA95BE}">
      <dsp:nvSpPr>
        <dsp:cNvPr id="0" name=""/>
        <dsp:cNvSpPr/>
      </dsp:nvSpPr>
      <dsp:spPr>
        <a:xfrm>
          <a:off x="1067627" y="419584"/>
          <a:ext cx="212470" cy="228406"/>
        </a:xfrm>
        <a:custGeom>
          <a:avLst/>
          <a:gdLst/>
          <a:ahLst/>
          <a:cxnLst/>
          <a:rect l="0" t="0" r="0" b="0"/>
          <a:pathLst>
            <a:path>
              <a:moveTo>
                <a:pt x="0" y="228406"/>
              </a:moveTo>
              <a:lnTo>
                <a:pt x="106235" y="228406"/>
              </a:lnTo>
              <a:lnTo>
                <a:pt x="106235" y="0"/>
              </a:lnTo>
              <a:lnTo>
                <a:pt x="212470" y="0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69BC696-A8B4-46CC-A781-56ECF4FC45A0}">
      <dsp:nvSpPr>
        <dsp:cNvPr id="0" name=""/>
        <dsp:cNvSpPr/>
      </dsp:nvSpPr>
      <dsp:spPr>
        <a:xfrm>
          <a:off x="5274" y="485981"/>
          <a:ext cx="1062353" cy="32401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AU" sz="900" kern="1200" dirty="0" smtClean="0"/>
            <a:t>Total Processed Tonnes with Factory</a:t>
          </a:r>
          <a:endParaRPr lang="en-AU" sz="900" kern="1200" dirty="0"/>
        </a:p>
      </dsp:txBody>
      <dsp:txXfrm>
        <a:off x="5274" y="485981"/>
        <a:ext cx="1062353" cy="324017"/>
      </dsp:txXfrm>
    </dsp:sp>
    <dsp:sp modelId="{43DEAEDB-AFF3-4C45-BC22-40D36B55A714}">
      <dsp:nvSpPr>
        <dsp:cNvPr id="0" name=""/>
        <dsp:cNvSpPr/>
      </dsp:nvSpPr>
      <dsp:spPr>
        <a:xfrm>
          <a:off x="1280098" y="257575"/>
          <a:ext cx="1062353" cy="32401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AU" sz="900" kern="1200" dirty="0" smtClean="0"/>
            <a:t>Number of Cotton Gins</a:t>
          </a:r>
          <a:endParaRPr lang="en-AU" sz="900" kern="1200" dirty="0"/>
        </a:p>
      </dsp:txBody>
      <dsp:txXfrm>
        <a:off x="1280098" y="257575"/>
        <a:ext cx="1062353" cy="324017"/>
      </dsp:txXfrm>
    </dsp:sp>
    <dsp:sp modelId="{152B234C-4C5A-4DA4-A749-49C68C750C50}">
      <dsp:nvSpPr>
        <dsp:cNvPr id="0" name=""/>
        <dsp:cNvSpPr/>
      </dsp:nvSpPr>
      <dsp:spPr>
        <a:xfrm>
          <a:off x="1280098" y="714388"/>
          <a:ext cx="1062353" cy="32401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AU" sz="900" kern="1200" dirty="0" smtClean="0"/>
            <a:t>Amount of Processed Tonnes</a:t>
          </a:r>
          <a:endParaRPr lang="en-AU" sz="900" kern="1200" dirty="0"/>
        </a:p>
      </dsp:txBody>
      <dsp:txXfrm>
        <a:off x="1280098" y="714388"/>
        <a:ext cx="1062353" cy="324017"/>
      </dsp:txXfrm>
    </dsp:sp>
    <dsp:sp modelId="{F45AAA93-8035-4195-883B-52C74202DED7}">
      <dsp:nvSpPr>
        <dsp:cNvPr id="0" name=""/>
        <dsp:cNvSpPr/>
      </dsp:nvSpPr>
      <dsp:spPr>
        <a:xfrm>
          <a:off x="2554923" y="485981"/>
          <a:ext cx="1062353" cy="32401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AU" sz="900" kern="1200" dirty="0" smtClean="0"/>
            <a:t>Average Separations per Processed Tonne</a:t>
          </a:r>
          <a:endParaRPr lang="en-AU" sz="900" kern="1200" dirty="0"/>
        </a:p>
      </dsp:txBody>
      <dsp:txXfrm>
        <a:off x="2554923" y="485981"/>
        <a:ext cx="1062353" cy="324017"/>
      </dsp:txXfrm>
    </dsp:sp>
    <dsp:sp modelId="{BA7F8164-9199-4ACE-BE67-DC4A4E806D36}">
      <dsp:nvSpPr>
        <dsp:cNvPr id="0" name=""/>
        <dsp:cNvSpPr/>
      </dsp:nvSpPr>
      <dsp:spPr>
        <a:xfrm>
          <a:off x="2554923" y="942794"/>
          <a:ext cx="1062353" cy="32401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AU" sz="900" kern="1200" dirty="0" smtClean="0"/>
            <a:t>Number of Separations</a:t>
          </a:r>
          <a:endParaRPr lang="en-AU" sz="900" kern="1200" dirty="0"/>
        </a:p>
      </dsp:txBody>
      <dsp:txXfrm>
        <a:off x="2554923" y="942794"/>
        <a:ext cx="1062353" cy="324017"/>
      </dsp:txXfrm>
    </dsp:sp>
    <dsp:sp modelId="{945202BE-7D96-4DCC-AD6C-C47165EDE467}">
      <dsp:nvSpPr>
        <dsp:cNvPr id="0" name=""/>
        <dsp:cNvSpPr/>
      </dsp:nvSpPr>
      <dsp:spPr>
        <a:xfrm>
          <a:off x="3829747" y="714388"/>
          <a:ext cx="1062353" cy="32401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AU" sz="900" kern="1200" dirty="0" smtClean="0"/>
            <a:t>Average Metres per Separation</a:t>
          </a:r>
          <a:endParaRPr lang="en-AU" sz="900" kern="1200" dirty="0"/>
        </a:p>
      </dsp:txBody>
      <dsp:txXfrm>
        <a:off x="3829747" y="714388"/>
        <a:ext cx="1062353" cy="324017"/>
      </dsp:txXfrm>
    </dsp:sp>
    <dsp:sp modelId="{2B9A413E-E230-47C8-9E56-92EC540D64B4}">
      <dsp:nvSpPr>
        <dsp:cNvPr id="0" name=""/>
        <dsp:cNvSpPr/>
      </dsp:nvSpPr>
      <dsp:spPr>
        <a:xfrm>
          <a:off x="3829747" y="1171200"/>
          <a:ext cx="1062353" cy="32401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AU" sz="900" kern="1200" dirty="0" smtClean="0"/>
            <a:t>Total Metres Rolled</a:t>
          </a:r>
          <a:endParaRPr lang="en-AU" sz="900" kern="1200" dirty="0"/>
        </a:p>
      </dsp:txBody>
      <dsp:txXfrm>
        <a:off x="3829747" y="1171200"/>
        <a:ext cx="1062353" cy="324017"/>
      </dsp:txXfrm>
    </dsp:sp>
    <dsp:sp modelId="{0517CE79-2C9E-4F51-A677-7BDE5B7DF192}">
      <dsp:nvSpPr>
        <dsp:cNvPr id="0" name=""/>
        <dsp:cNvSpPr/>
      </dsp:nvSpPr>
      <dsp:spPr>
        <a:xfrm>
          <a:off x="5104572" y="942794"/>
          <a:ext cx="1062353" cy="32401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AU" sz="900" kern="1200" dirty="0" smtClean="0"/>
            <a:t>Average Metres per Hour</a:t>
          </a:r>
          <a:endParaRPr lang="en-AU" sz="900" kern="1200" dirty="0"/>
        </a:p>
      </dsp:txBody>
      <dsp:txXfrm>
        <a:off x="5104572" y="942794"/>
        <a:ext cx="1062353" cy="324017"/>
      </dsp:txXfrm>
    </dsp:sp>
    <dsp:sp modelId="{B942401D-73DF-487F-A805-656419E638CF}">
      <dsp:nvSpPr>
        <dsp:cNvPr id="0" name=""/>
        <dsp:cNvSpPr/>
      </dsp:nvSpPr>
      <dsp:spPr>
        <a:xfrm>
          <a:off x="5104572" y="1399606"/>
          <a:ext cx="1062353" cy="32401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AU" sz="900" kern="1200" dirty="0" smtClean="0"/>
            <a:t>Cotton Gin Operating Time</a:t>
          </a:r>
          <a:endParaRPr lang="en-AU" sz="900" kern="1200" dirty="0"/>
        </a:p>
      </dsp:txBody>
      <dsp:txXfrm>
        <a:off x="5104572" y="1399606"/>
        <a:ext cx="1062353" cy="324017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9/3/layout/HorizontalOrganizationChart">
  <dgm:title val=""/>
  <dgm:desc val=""/>
  <dgm:catLst>
    <dgm:cat type="hierarchy" pri="43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T"/>
          <dgm:param type="chAlign" val="l"/>
        </dgm:alg>
      </dgm:if>
      <dgm:else name="Name2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305"/>
      <dgm:constr type="w" for="des" forName="rootComposite" refType="w" fact="10"/>
      <dgm:constr type="h" for="des" forName="rootComposite" refType="w" refFor="des" refForName="rootComposite1" fact="0.305"/>
      <dgm:constr type="w" for="des" forName="rootComposite3" refType="w" fact="10"/>
      <dgm:constr type="h" for="des" forName="rootComposite3" refType="w" refFor="des" refForName="rootComposite1" fact="0.305"/>
      <dgm:constr type="primFontSz" for="des" ptType="node" op="equ"/>
      <dgm:constr type="sp" for="des" op="equ"/>
      <dgm:constr type="sp" for="des" forName="hierRoot1" refType="w" refFor="des" refForName="rootComposite1" fact="0.2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125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125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func="var" arg="dir" op="equ" val="norm">
                  <dgm:alg type="hierRoot">
                    <dgm:param type="hierAlign" val="lT"/>
                  </dgm:alg>
                  <dgm:constrLst>
                    <dgm:constr type="alignOff" val="0.75"/>
                  </dgm:constrLst>
                </dgm:if>
                <dgm:else name="Name9">
                  <dgm:alg type="hierRoot">
                    <dgm:param type="hierAlign" val="rT"/>
                  </dgm:alg>
                  <dgm:constrLst>
                    <dgm:constr type="alignOff" val="0.75"/>
                  </dgm:constrLst>
                </dgm:else>
              </dgm:choose>
            </dgm:if>
            <dgm:if name="Name10" func="var" arg="hierBranch" op="equ" val="r">
              <dgm:choose name="Name11">
                <dgm:if name="Name12" func="var" arg="dir" op="equ" val="norm">
                  <dgm:alg type="hierRoot">
                    <dgm:param type="hierAlign" val="lB"/>
                  </dgm:alg>
                  <dgm:constrLst>
                    <dgm:constr type="alignOff" val="0.75"/>
                  </dgm:constrLst>
                </dgm:if>
                <dgm:else name="Name13">
                  <dgm:alg type="hierRoot">
                    <dgm:param type="hierAlign" val="rB"/>
                  </dgm:alg>
                  <dgm:constrLst>
                    <dgm:constr type="alignOff" val="0.75"/>
                  </dgm:constrLst>
                </dgm:else>
              </dgm:choose>
            </dgm:if>
            <dgm:if name="Name14" func="var" arg="hierBranch" op="equ" val="hang">
              <dgm:choose name="Name15">
                <dgm:if name="Name16" func="var" arg="dir" op="equ" val="norm">
                  <dgm:alg type="hierRoot">
                    <dgm:param type="hierAlign" val="lCtrCh"/>
                  </dgm:alg>
                  <dgm:constrLst>
                    <dgm:constr type="alignOff" val="0.65"/>
                  </dgm:constrLst>
                </dgm:if>
                <dgm:else name="Name17">
                  <dgm:alg type="hierRoot">
                    <dgm:param type="hierAlign" val="rCtrCh"/>
                  </dgm:alg>
                  <dgm:constrLst>
                    <dgm:constr type="alignOff" val="0.65"/>
                  </dgm:constrLst>
                </dgm:else>
              </dgm:choose>
            </dgm:if>
            <dgm:else name="Name18">
              <dgm:choose name="Name19">
                <dgm:if name="Name20" func="var" arg="dir" op="equ" val="norm">
                  <dgm:alg type="hierRoot">
                    <dgm:param type="hierAlign" val="lCtrCh"/>
                  </dgm:alg>
                  <dgm:constrLst>
                    <dgm:constr type="alignOff"/>
                    <dgm:constr type="bendDist" for="des" ptType="parTrans" refType="sp" fact="0.5"/>
                  </dgm:constrLst>
                </dgm:if>
                <dgm:else name="Name21">
                  <dgm:alg type="hierRoot">
                    <dgm:param type="hierAlign" val="rCtrCh"/>
                  </dgm:alg>
                  <dgm:constrLst>
                    <dgm:constr type="alignOff"/>
                    <dgm:constr type="bendDist" for="des" ptType="parTrans" refType="sp" fact="0.5"/>
                  </dgm:constrLst>
                </dgm:else>
              </dgm:choose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22">
              <dgm:if name="Name23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24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25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6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7">
              <dgm:if name="Name28" func="var" arg="hierBranch" op="equ" val="l">
                <dgm:choose name="Name29">
                  <dgm:if name="Name30" func="var" arg="dir" op="equ" val="norm">
                    <dgm:alg type="hierChild">
                      <dgm:param type="chAlign" val="t"/>
                      <dgm:param type="linDir" val="fromL"/>
                    </dgm:alg>
                  </dgm:if>
                  <dgm:else name="Name31">
                    <dgm:alg type="hierChild">
                      <dgm:param type="chAlign" val="t"/>
                      <dgm:param type="linDir" val="fromR"/>
                    </dgm:alg>
                  </dgm:else>
                </dgm:choose>
              </dgm:if>
              <dgm:if name="Name32" func="var" arg="hierBranch" op="equ" val="r">
                <dgm:choose name="Name33">
                  <dgm:if name="Name34" func="var" arg="dir" op="equ" val="norm">
                    <dgm:alg type="hierChild">
                      <dgm:param type="chAlign" val="b"/>
                      <dgm:param type="linDir" val="fromL"/>
                    </dgm:alg>
                  </dgm:if>
                  <dgm:else name="Name35">
                    <dgm:alg type="hierChild">
                      <dgm:param type="chAlign" val="b"/>
                      <dgm:param type="linDir" val="fromR"/>
                    </dgm:alg>
                  </dgm:else>
                </dgm:choose>
              </dgm:if>
              <dgm:if name="Name36" func="var" arg="hierBranch" op="equ" val="hang">
                <dgm:choose name="Name37">
                  <dgm:if name="Name38" func="var" arg="dir" op="equ" val="norm">
                    <dgm:alg type="hierChild">
                      <dgm:param type="chAlign" val="l"/>
                      <dgm:param type="linDir" val="fromT"/>
                      <dgm:param type="secChAlign" val="t"/>
                      <dgm:param type="secLinDir" val="fromL"/>
                    </dgm:alg>
                  </dgm:if>
                  <dgm:else name="Name39">
                    <dgm:alg type="hierChild">
                      <dgm:param type="chAlign" val="r"/>
                      <dgm:param type="linDir" val="fromT"/>
                      <dgm:param type="secChAlign" val="t"/>
                      <dgm:param type="secLinDir" val="fromR"/>
                    </dgm:alg>
                  </dgm:else>
                </dgm:choose>
              </dgm:if>
              <dgm:else name="Name40">
                <dgm:choose name="Name41">
                  <dgm:if name="Name42" func="var" arg="dir" op="equ" val="norm">
                    <dgm:alg type="hierChild">
                      <dgm:param type="linDir" val="fromT"/>
                      <dgm:param type="chAlign" val="l"/>
                    </dgm:alg>
                  </dgm:if>
                  <dgm:else name="Name43">
                    <dgm:alg type="hierChild">
                      <dgm:param type="linDir" val="fromT"/>
                      <dgm:param type="chAlign" val="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44" axis="precedSib" ptType="parTrans" st="-1" cnt="1">
                <dgm:choose name="Name45">
                  <dgm:if name="Name46" func="var" arg="hierBranch" op="equ" val="hang">
                    <dgm:layoutNode name="Name47">
                      <dgm:choose name="Name48">
                        <dgm:if name="Name49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bCtr tCtr"/>
                          </dgm:alg>
                        </dgm:if>
                        <dgm:else name="Name50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bCtr t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51" func="var" arg="hierBranch" op="equ" val="l">
                    <dgm:layoutNode name="Name52">
                      <dgm:choose name="Name53">
                        <dgm:if name="Name54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tCtr"/>
                          </dgm:alg>
                        </dgm:if>
                        <dgm:else name="Name55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t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56" func="var" arg="hierBranch" op="equ" val="r">
                    <dgm:layoutNode name="Name57">
                      <dgm:choose name="Name58">
                        <dgm:if name="Name59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bCtr"/>
                          </dgm:alg>
                        </dgm:if>
                        <dgm:else name="Name60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b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61">
                    <dgm:choose name="Name62">
                      <dgm:if name="Name63" func="var" arg="dir" op="equ" val="norm">
                        <dgm:layoutNode name="Name64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midL"/>
                            <dgm:param type="bendPt" val="end"/>
                          </dgm:alg>
                          <dgm:shape xmlns:r="http://schemas.openxmlformats.org/officeDocument/2006/relationships" type="conn" r:blip="" zOrderOff="-99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if>
                      <dgm:else name="Name65">
                        <dgm:layoutNode name="Name66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midR"/>
                            <dgm:param type="bendPt" val="end"/>
                          </dgm:alg>
                          <dgm:shape xmlns:r="http://schemas.openxmlformats.org/officeDocument/2006/relationships" type="conn" r:blip="" zOrderOff="-99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else>
                    </dgm:choos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7">
                  <dgm:if name="Name68" func="var" arg="hierBranch" op="equ" val="l">
                    <dgm:choose name="Name69">
                      <dgm:if name="Name70" func="var" arg="dir" op="equ" val="norm">
                        <dgm:alg type="hierRoot">
                          <dgm:param type="hierAlign" val="lT"/>
                        </dgm:alg>
                        <dgm:constrLst>
                          <dgm:constr type="alignOff" val="0.75"/>
                        </dgm:constrLst>
                      </dgm:if>
                      <dgm:else name="Name71">
                        <dgm:alg type="hierRoot">
                          <dgm:param type="hierAlign" val="rT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72" func="var" arg="hierBranch" op="equ" val="r">
                    <dgm:choose name="Name73">
                      <dgm:if name="Name74" func="var" arg="dir" op="equ" val="norm">
                        <dgm:alg type="hierRoot">
                          <dgm:param type="hierAlign" val="lB"/>
                        </dgm:alg>
                        <dgm:constrLst>
                          <dgm:constr type="alignOff" val="0.75"/>
                        </dgm:constrLst>
                      </dgm:if>
                      <dgm:else name="Name75">
                        <dgm:alg type="hierRoot">
                          <dgm:param type="hierAlign" val="rB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76" func="var" arg="hierBranch" op="equ" val="hang">
                    <dgm:choose name="Name77">
                      <dgm:if name="Name78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 val="0.65"/>
                        </dgm:constrLst>
                      </dgm:if>
                      <dgm:else name="Name79">
                        <dgm:alg type="hierRoot">
                          <dgm:param type="hierAlign" val="rCtrCh"/>
                        </dgm:alg>
                        <dgm:constrLst>
                          <dgm:constr type="alignOff" val="0.65"/>
                        </dgm:constrLst>
                      </dgm:else>
                    </dgm:choose>
                  </dgm:if>
                  <dgm:else name="Name80">
                    <dgm:choose name="Name81">
                      <dgm:if name="Name82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if>
                      <dgm:else name="Name83">
                        <dgm:alg type="hierRoot">
                          <dgm:param type="hierAlign" val="r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84">
                    <dgm:if name="Name85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6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7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8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9">
                    <dgm:if name="Name90" func="var" arg="hierBranch" op="equ" val="l">
                      <dgm:choose name="Name91">
                        <dgm:if name="Name92" func="var" arg="dir" op="equ" val="norm">
                          <dgm:alg type="hierChild">
                            <dgm:param type="chAlign" val="t"/>
                            <dgm:param type="linDir" val="fromL"/>
                          </dgm:alg>
                        </dgm:if>
                        <dgm:else name="Name93">
                          <dgm:alg type="hierChild">
                            <dgm:param type="chAlign" val="t"/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r">
                      <dgm:choose name="Name95">
                        <dgm:if name="Name96" func="var" arg="dir" op="equ" val="norm">
                          <dgm:alg type="hierChild">
                            <dgm:param type="chAlign" val="b"/>
                            <dgm:param type="linDir" val="fromL"/>
                          </dgm:alg>
                        </dgm:if>
                        <dgm:else name="Name97">
                          <dgm:alg type="hierChild">
                            <dgm:param type="chAlign" val="b"/>
                            <dgm:param type="linDir" val="fromR"/>
                          </dgm:alg>
                        </dgm:else>
                      </dgm:choose>
                    </dgm:if>
                    <dgm:if name="Name98" func="var" arg="hierBranch" op="equ" val="hang">
                      <dgm:choose name="Name99">
                        <dgm:if name="Name100" func="var" arg="dir" op="equ" val="norm">
                          <dgm:alg type="hierChild">
                            <dgm:param type="chAlign" val="l"/>
                            <dgm:param type="linDir" val="fromT"/>
                            <dgm:param type="secChAlign" val="t"/>
                            <dgm:param type="secLinDir" val="fromL"/>
                          </dgm:alg>
                        </dgm:if>
                        <dgm:else name="Name101">
                          <dgm:alg type="hierChild">
                            <dgm:param type="chAlign" val="r"/>
                            <dgm:param type="linDir" val="fromT"/>
                            <dgm:param type="secChAlign" val="t"/>
                            <dgm:param type="secLinDir" val="fromR"/>
                          </dgm:alg>
                        </dgm:else>
                      </dgm:choose>
                    </dgm:if>
                    <dgm:else name="Name102">
                      <dgm:choose name="Name103">
                        <dgm:if name="Name104" func="var" arg="dir" op="equ" val="norm">
                          <dgm:alg type="hierChild">
                            <dgm:param type="linDir" val="fromT"/>
                            <dgm:param type="chAlign" val="l"/>
                          </dgm:alg>
                        </dgm:if>
                        <dgm:else name="Name105">
                          <dgm:alg type="hierChild">
                            <dgm:param type="linDir" val="fromT"/>
                            <dgm:param type="chAlign" val="r"/>
                          </dgm:alg>
                        </dgm:else>
                      </dgm:choose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a"/>
                </dgm:layoutNode>
                <dgm:layoutNode name="hierChild5">
                  <dgm:choose name="Name107">
                    <dgm:if name="Name108" func="var" arg="dir" op="equ" val="norm">
                      <dgm:alg type="hierChild">
                        <dgm:param type="chAlign" val="l"/>
                        <dgm:param type="linDir" val="fromT"/>
                        <dgm:param type="secChAlign" val="t"/>
                        <dgm:param type="secLinDir" val="fromL"/>
                      </dgm:alg>
                    </dgm:if>
                    <dgm:else name="Name109">
                      <dgm:alg type="hierChild">
                        <dgm:param type="chAlign" val="r"/>
                        <dgm:param type="linDir" val="fromT"/>
                        <dgm:param type="secChAlign" val="t"/>
                        <dgm:param type="secLinDir" val="fromR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10" ref="rep2b"/>
                </dgm:layoutNode>
              </dgm:layoutNode>
            </dgm:forEach>
          </dgm:layoutNode>
          <dgm:layoutNode name="hierChild3">
            <dgm:choose name="Name111">
              <dgm:if name="Name112" func="var" arg="dir" op="equ" val="norm">
                <dgm:alg type="hierChild">
                  <dgm:param type="chAlign" val="l"/>
                  <dgm:param type="linDir" val="fromT"/>
                  <dgm:param type="secChAlign" val="t"/>
                  <dgm:param type="secLinDir" val="fromL"/>
                </dgm:alg>
              </dgm:if>
              <dgm:else name="Name113">
                <dgm:alg type="hierChild">
                  <dgm:param type="chAlign" val="r"/>
                  <dgm:param type="linDir" val="fromT"/>
                  <dgm:param type="secChAlign" val="t"/>
                  <dgm:param type="secLinDir" val="from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4" axis="precedSib" ptType="parTrans" st="-1" cnt="1">
                <dgm:layoutNode name="Name115">
                  <dgm:choose name="Name116">
                    <dgm:if name="Name117" func="var" arg="dir" op="equ" val="norm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midR"/>
                        <dgm:param type="endPts" val="bCtr tCtr"/>
                      </dgm:alg>
                    </dgm:if>
                    <dgm:else name="Name11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midL"/>
                        <dgm:param type="endPts" val="bCtr tCtr"/>
                      </dgm:alg>
                    </dgm:else>
                  </dgm:choose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9">
                  <dgm:if name="Name120" func="var" arg="hierBranch" op="equ" val="l">
                    <dgm:choose name="Name121">
                      <dgm:if name="Name122" func="var" arg="dir" op="equ" val="norm">
                        <dgm:alg type="hierRoot">
                          <dgm:param type="hierAlign" val="lT"/>
                        </dgm:alg>
                        <dgm:constrLst>
                          <dgm:constr type="alignOff" val="0.75"/>
                        </dgm:constrLst>
                      </dgm:if>
                      <dgm:else name="Name123">
                        <dgm:alg type="hierRoot">
                          <dgm:param type="hierAlign" val="rT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124" func="var" arg="hierBranch" op="equ" val="r">
                    <dgm:choose name="Name125">
                      <dgm:if name="Name126" func="var" arg="dir" op="equ" val="norm">
                        <dgm:alg type="hierRoot">
                          <dgm:param type="hierAlign" val="lB"/>
                        </dgm:alg>
                        <dgm:constrLst>
                          <dgm:constr type="alignOff" val="0.75"/>
                        </dgm:constrLst>
                      </dgm:if>
                      <dgm:else name="Name127">
                        <dgm:alg type="hierRoot">
                          <dgm:param type="hierAlign" val="rB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128" func="var" arg="hierBranch" op="equ" val="hang">
                    <dgm:choose name="Name129">
                      <dgm:if name="Name130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 val="0.65"/>
                        </dgm:constrLst>
                      </dgm:if>
                      <dgm:else name="Name131">
                        <dgm:alg type="hierRoot">
                          <dgm:param type="hierAlign" val="rCtrCh"/>
                        </dgm:alg>
                        <dgm:constrLst>
                          <dgm:constr type="alignOff" val="0.65"/>
                        </dgm:constrLst>
                      </dgm:else>
                    </dgm:choose>
                  </dgm:if>
                  <dgm:else name="Name132">
                    <dgm:choose name="Name133">
                      <dgm:if name="Name134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if>
                      <dgm:else name="Name135">
                        <dgm:alg type="hierRoot">
                          <dgm:param type="hierAlign" val="r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36">
                    <dgm:if name="Name137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38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39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40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41">
                    <dgm:if name="Name142" func="var" arg="hierBranch" op="equ" val="l">
                      <dgm:choose name="Name143">
                        <dgm:if name="Name144" func="var" arg="dir" op="equ" val="norm">
                          <dgm:alg type="hierChild">
                            <dgm:param type="chAlign" val="t"/>
                            <dgm:param type="linDir" val="fromL"/>
                          </dgm:alg>
                        </dgm:if>
                        <dgm:else name="Name145">
                          <dgm:alg type="hierChild">
                            <dgm:param type="chAlign" val="t"/>
                            <dgm:param type="linDir" val="fromR"/>
                          </dgm:alg>
                        </dgm:else>
                      </dgm:choose>
                    </dgm:if>
                    <dgm:if name="Name146" func="var" arg="hierBranch" op="equ" val="r">
                      <dgm:choose name="Name147">
                        <dgm:if name="Name148" func="var" arg="dir" op="equ" val="norm">
                          <dgm:alg type="hierChild">
                            <dgm:param type="chAlign" val="b"/>
                            <dgm:param type="linDir" val="fromL"/>
                          </dgm:alg>
                        </dgm:if>
                        <dgm:else name="Name149">
                          <dgm:alg type="hierChild">
                            <dgm:param type="chAlign" val="b"/>
                            <dgm:param type="linDir" val="fromR"/>
                          </dgm:alg>
                        </dgm:else>
                      </dgm:choose>
                    </dgm:if>
                    <dgm:if name="Name150" func="var" arg="hierBranch" op="equ" val="hang">
                      <dgm:choose name="Name151">
                        <dgm:if name="Name152" func="var" arg="dir" op="equ" val="norm">
                          <dgm:alg type="hierChild">
                            <dgm:param type="chAlign" val="l"/>
                            <dgm:param type="linDir" val="fromT"/>
                            <dgm:param type="secChAlign" val="t"/>
                            <dgm:param type="secLinDir" val="fromL"/>
                          </dgm:alg>
                        </dgm:if>
                        <dgm:else name="Name153">
                          <dgm:alg type="hierChild">
                            <dgm:param type="chAlign" val="r"/>
                            <dgm:param type="linDir" val="fromT"/>
                            <dgm:param type="secChAlign" val="t"/>
                            <dgm:param type="secLinDir" val="fromR"/>
                          </dgm:alg>
                        </dgm:else>
                      </dgm:choose>
                    </dgm:if>
                    <dgm:else name="Name154">
                      <dgm:choose name="Name155">
                        <dgm:if name="Name156" func="var" arg="dir" op="equ" val="norm">
                          <dgm:alg type="hierChild">
                            <dgm:param type="linDir" val="fromT"/>
                            <dgm:param type="chAlign" val="l"/>
                          </dgm:alg>
                        </dgm:if>
                        <dgm:else name="Name157">
                          <dgm:alg type="hierChild">
                            <dgm:param type="linDir" val="fromT"/>
                            <dgm:param type="chAlign" val="r"/>
                          </dgm:alg>
                        </dgm:else>
                      </dgm:choose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58" ref="rep2a"/>
                </dgm:layoutNode>
                <dgm:layoutNode name="hierChild7">
                  <dgm:choose name="Name159">
                    <dgm:if name="Name160" func="var" arg="dir" op="equ" val="norm">
                      <dgm:alg type="hierChild">
                        <dgm:param type="chAlign" val="l"/>
                        <dgm:param type="linDir" val="fromT"/>
                        <dgm:param type="secChAlign" val="t"/>
                        <dgm:param type="secLinDir" val="fromL"/>
                      </dgm:alg>
                    </dgm:if>
                    <dgm:else name="Name161">
                      <dgm:alg type="hierChild">
                        <dgm:param type="chAlign" val="r"/>
                        <dgm:param type="linDir" val="fromT"/>
                        <dgm:param type="secChAlign" val="t"/>
                        <dgm:param type="secLinDir" val="fromR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62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image" Target="../media/image3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4</xdr:row>
      <xdr:rowOff>114300</xdr:rowOff>
    </xdr:from>
    <xdr:to>
      <xdr:col>2</xdr:col>
      <xdr:colOff>47625</xdr:colOff>
      <xdr:row>6</xdr:row>
      <xdr:rowOff>66675</xdr:rowOff>
    </xdr:to>
    <xdr:pic>
      <xdr:nvPicPr>
        <xdr:cNvPr id="2049" name="Picture 1" descr="Creative Commons Licens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04925" y="1104900"/>
          <a:ext cx="838200" cy="29527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257175</xdr:colOff>
      <xdr:row>10</xdr:row>
      <xdr:rowOff>31864</xdr:rowOff>
    </xdr:from>
    <xdr:to>
      <xdr:col>2</xdr:col>
      <xdr:colOff>1066829</xdr:colOff>
      <xdr:row>10</xdr:row>
      <xdr:rowOff>165421</xdr:rowOff>
    </xdr:to>
    <xdr:sp macro="" textlink="">
      <xdr:nvSpPr>
        <xdr:cNvPr id="5" name="TextBox 8"/>
        <xdr:cNvSpPr txBox="1"/>
      </xdr:nvSpPr>
      <xdr:spPr bwMode="gray">
        <a:xfrm>
          <a:off x="1295400" y="2603614"/>
          <a:ext cx="809654" cy="1335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fontAlgn="auto">
            <a:spcBef>
              <a:spcPts val="0"/>
            </a:spcBef>
            <a:spcAft>
              <a:spcPts val="0"/>
            </a:spcAft>
            <a:defRPr/>
          </a:pPr>
          <a:r>
            <a:rPr lang="en-AU" sz="1000" b="1" kern="0">
              <a:solidFill>
                <a:srgbClr val="665546">
                  <a:lumMod val="95000"/>
                  <a:lumOff val="5000"/>
                </a:srgbClr>
              </a:solidFill>
              <a:ea typeface="ＭＳ Ｐゴシック" pitchFamily="-106" charset="-128"/>
              <a:cs typeface="+mn-cs"/>
            </a:rPr>
            <a:t>IT Enablers</a:t>
          </a:r>
        </a:p>
      </xdr:txBody>
    </xdr:sp>
    <xdr:clientData/>
  </xdr:twoCellAnchor>
  <xdr:twoCellAnchor>
    <xdr:from>
      <xdr:col>5</xdr:col>
      <xdr:colOff>647417</xdr:colOff>
      <xdr:row>6</xdr:row>
      <xdr:rowOff>161925</xdr:rowOff>
    </xdr:from>
    <xdr:to>
      <xdr:col>5</xdr:col>
      <xdr:colOff>1238190</xdr:colOff>
      <xdr:row>7</xdr:row>
      <xdr:rowOff>164202</xdr:rowOff>
    </xdr:to>
    <xdr:sp macro="" textlink="">
      <xdr:nvSpPr>
        <xdr:cNvPr id="6" name="TextBox 13"/>
        <xdr:cNvSpPr txBox="1"/>
      </xdr:nvSpPr>
      <xdr:spPr bwMode="gray">
        <a:xfrm>
          <a:off x="3581117" y="1781175"/>
          <a:ext cx="590773" cy="240402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fontAlgn="auto">
            <a:spcBef>
              <a:spcPts val="0"/>
            </a:spcBef>
            <a:spcAft>
              <a:spcPts val="0"/>
            </a:spcAft>
            <a:defRPr/>
          </a:pPr>
          <a:r>
            <a:rPr lang="en-AU" sz="1800" b="1" kern="0">
              <a:solidFill>
                <a:srgbClr val="665546">
                  <a:lumMod val="95000"/>
                  <a:lumOff val="5000"/>
                </a:srgbClr>
              </a:solidFill>
              <a:ea typeface="ＭＳ Ｐゴシック" pitchFamily="-106" charset="-128"/>
              <a:cs typeface="+mn-cs"/>
            </a:rPr>
            <a:t>HOW</a:t>
          </a:r>
        </a:p>
      </xdr:txBody>
    </xdr:sp>
    <xdr:clientData/>
  </xdr:twoCellAnchor>
  <xdr:twoCellAnchor>
    <xdr:from>
      <xdr:col>8</xdr:col>
      <xdr:colOff>920829</xdr:colOff>
      <xdr:row>6</xdr:row>
      <xdr:rowOff>161925</xdr:rowOff>
    </xdr:from>
    <xdr:to>
      <xdr:col>8</xdr:col>
      <xdr:colOff>1640968</xdr:colOff>
      <xdr:row>7</xdr:row>
      <xdr:rowOff>164202</xdr:rowOff>
    </xdr:to>
    <xdr:sp macro="" textlink="">
      <xdr:nvSpPr>
        <xdr:cNvPr id="7" name="TextBox 14"/>
        <xdr:cNvSpPr txBox="1"/>
      </xdr:nvSpPr>
      <xdr:spPr bwMode="gray">
        <a:xfrm>
          <a:off x="6111954" y="1781175"/>
          <a:ext cx="720139" cy="240402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fontAlgn="auto">
            <a:spcBef>
              <a:spcPts val="0"/>
            </a:spcBef>
            <a:spcAft>
              <a:spcPts val="0"/>
            </a:spcAft>
            <a:defRPr/>
          </a:pPr>
          <a:r>
            <a:rPr lang="en-AU" sz="1800" b="1" kern="0">
              <a:solidFill>
                <a:srgbClr val="665546">
                  <a:lumMod val="95000"/>
                  <a:lumOff val="5000"/>
                </a:srgbClr>
              </a:solidFill>
              <a:ea typeface="ＭＳ Ｐゴシック" pitchFamily="-106" charset="-128"/>
              <a:cs typeface="+mn-cs"/>
            </a:rPr>
            <a:t>WHAT</a:t>
          </a:r>
        </a:p>
      </xdr:txBody>
    </xdr:sp>
    <xdr:clientData/>
  </xdr:twoCellAnchor>
  <xdr:twoCellAnchor>
    <xdr:from>
      <xdr:col>11</xdr:col>
      <xdr:colOff>447869</xdr:colOff>
      <xdr:row>6</xdr:row>
      <xdr:rowOff>161925</xdr:rowOff>
    </xdr:from>
    <xdr:to>
      <xdr:col>11</xdr:col>
      <xdr:colOff>1019955</xdr:colOff>
      <xdr:row>7</xdr:row>
      <xdr:rowOff>164202</xdr:rowOff>
    </xdr:to>
    <xdr:sp macro="" textlink="">
      <xdr:nvSpPr>
        <xdr:cNvPr id="8" name="TextBox 15"/>
        <xdr:cNvSpPr txBox="1"/>
      </xdr:nvSpPr>
      <xdr:spPr bwMode="gray">
        <a:xfrm>
          <a:off x="7524944" y="1781175"/>
          <a:ext cx="572086" cy="240402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fontAlgn="auto">
            <a:spcBef>
              <a:spcPts val="0"/>
            </a:spcBef>
            <a:spcAft>
              <a:spcPts val="0"/>
            </a:spcAft>
            <a:defRPr/>
          </a:pPr>
          <a:r>
            <a:rPr lang="en-AU" sz="1800" b="1" kern="0">
              <a:solidFill>
                <a:srgbClr val="665546">
                  <a:lumMod val="95000"/>
                  <a:lumOff val="5000"/>
                </a:srgbClr>
              </a:solidFill>
              <a:ea typeface="ＭＳ Ｐゴシック" pitchFamily="-106" charset="-128"/>
              <a:cs typeface="+mn-cs"/>
            </a:rPr>
            <a:t>WHY</a:t>
          </a:r>
        </a:p>
      </xdr:txBody>
    </xdr:sp>
    <xdr:clientData/>
  </xdr:twoCellAnchor>
  <xdr:twoCellAnchor>
    <xdr:from>
      <xdr:col>2</xdr:col>
      <xdr:colOff>880359</xdr:colOff>
      <xdr:row>8</xdr:row>
      <xdr:rowOff>9448</xdr:rowOff>
    </xdr:from>
    <xdr:to>
      <xdr:col>8</xdr:col>
      <xdr:colOff>643296</xdr:colOff>
      <xdr:row>8</xdr:row>
      <xdr:rowOff>141713</xdr:rowOff>
    </xdr:to>
    <xdr:sp macro="" textlink="">
      <xdr:nvSpPr>
        <xdr:cNvPr id="9" name="Right Brace 8"/>
        <xdr:cNvSpPr/>
      </xdr:nvSpPr>
      <xdr:spPr bwMode="gray">
        <a:xfrm rot="16200000">
          <a:off x="3810370" y="213162"/>
          <a:ext cx="132265" cy="3915837"/>
        </a:xfrm>
        <a:prstGeom prst="rightBrace">
          <a:avLst/>
        </a:prstGeom>
        <a:noFill/>
        <a:ln w="9525" cap="flat" cmpd="sng" algn="ctr">
          <a:solidFill>
            <a:srgbClr val="665546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wrap="square" lIns="65306" tIns="32653" rIns="65306" bIns="32653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defTabSz="653064" fontAlgn="auto">
            <a:spcBef>
              <a:spcPts val="0"/>
            </a:spcBef>
            <a:spcAft>
              <a:spcPts val="0"/>
            </a:spcAft>
            <a:defRPr/>
          </a:pPr>
          <a:endParaRPr lang="en-AU" sz="1000" kern="0">
            <a:solidFill>
              <a:srgbClr val="CAC0B6"/>
            </a:solidFill>
            <a:cs typeface="+mn-cs"/>
          </a:endParaRPr>
        </a:p>
      </xdr:txBody>
    </xdr:sp>
    <xdr:clientData/>
  </xdr:twoCellAnchor>
  <xdr:twoCellAnchor>
    <xdr:from>
      <xdr:col>2</xdr:col>
      <xdr:colOff>1205190</xdr:colOff>
      <xdr:row>8</xdr:row>
      <xdr:rowOff>133448</xdr:rowOff>
    </xdr:from>
    <xdr:to>
      <xdr:col>5</xdr:col>
      <xdr:colOff>875060</xdr:colOff>
      <xdr:row>9</xdr:row>
      <xdr:rowOff>28880</xdr:rowOff>
    </xdr:to>
    <xdr:sp macro="" textlink="">
      <xdr:nvSpPr>
        <xdr:cNvPr id="10" name="TextBox 17"/>
        <xdr:cNvSpPr txBox="1"/>
      </xdr:nvSpPr>
      <xdr:spPr bwMode="gray">
        <a:xfrm>
          <a:off x="2243415" y="2228948"/>
          <a:ext cx="1565345" cy="1335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fontAlgn="auto">
            <a:spcBef>
              <a:spcPts val="0"/>
            </a:spcBef>
            <a:spcAft>
              <a:spcPts val="0"/>
            </a:spcAft>
            <a:defRPr/>
          </a:pPr>
          <a:r>
            <a:rPr lang="en-AU" sz="1000" i="1" kern="0">
              <a:solidFill>
                <a:srgbClr val="665546">
                  <a:lumMod val="95000"/>
                  <a:lumOff val="5000"/>
                </a:srgbClr>
              </a:solidFill>
              <a:ea typeface="ＭＳ Ｐゴシック" pitchFamily="-106" charset="-128"/>
              <a:cs typeface="+mn-cs"/>
            </a:rPr>
            <a:t>“one- off programme related”</a:t>
          </a:r>
        </a:p>
      </xdr:txBody>
    </xdr:sp>
    <xdr:clientData/>
  </xdr:twoCellAnchor>
  <xdr:twoCellAnchor>
    <xdr:from>
      <xdr:col>5</xdr:col>
      <xdr:colOff>1109948</xdr:colOff>
      <xdr:row>8</xdr:row>
      <xdr:rowOff>133448</xdr:rowOff>
    </xdr:from>
    <xdr:to>
      <xdr:col>8</xdr:col>
      <xdr:colOff>601664</xdr:colOff>
      <xdr:row>9</xdr:row>
      <xdr:rowOff>28880</xdr:rowOff>
    </xdr:to>
    <xdr:sp macro="" textlink="">
      <xdr:nvSpPr>
        <xdr:cNvPr id="11" name="TextBox 18"/>
        <xdr:cNvSpPr txBox="1"/>
      </xdr:nvSpPr>
      <xdr:spPr bwMode="gray">
        <a:xfrm>
          <a:off x="4043648" y="2228948"/>
          <a:ext cx="1749141" cy="1335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fontAlgn="auto">
            <a:spcBef>
              <a:spcPts val="0"/>
            </a:spcBef>
            <a:spcAft>
              <a:spcPts val="0"/>
            </a:spcAft>
            <a:defRPr/>
          </a:pPr>
          <a:r>
            <a:rPr lang="en-AU" sz="1000" i="1" kern="0">
              <a:solidFill>
                <a:srgbClr val="665546">
                  <a:lumMod val="95000"/>
                  <a:lumOff val="5000"/>
                </a:srgbClr>
              </a:solidFill>
              <a:ea typeface="ＭＳ Ｐゴシック" pitchFamily="-106" charset="-128"/>
              <a:cs typeface="+mn-cs"/>
            </a:rPr>
            <a:t>“ongoing – new ways of working”</a:t>
          </a:r>
        </a:p>
      </xdr:txBody>
    </xdr:sp>
    <xdr:clientData/>
  </xdr:twoCellAnchor>
  <xdr:twoCellAnchor>
    <xdr:from>
      <xdr:col>8</xdr:col>
      <xdr:colOff>1060381</xdr:colOff>
      <xdr:row>8</xdr:row>
      <xdr:rowOff>133448</xdr:rowOff>
    </xdr:from>
    <xdr:to>
      <xdr:col>11</xdr:col>
      <xdr:colOff>1130322</xdr:colOff>
      <xdr:row>9</xdr:row>
      <xdr:rowOff>28880</xdr:rowOff>
    </xdr:to>
    <xdr:sp macro="" textlink="">
      <xdr:nvSpPr>
        <xdr:cNvPr id="12" name="TextBox 19"/>
        <xdr:cNvSpPr txBox="1"/>
      </xdr:nvSpPr>
      <xdr:spPr bwMode="gray">
        <a:xfrm>
          <a:off x="6251506" y="2228948"/>
          <a:ext cx="1955891" cy="1335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fontAlgn="auto">
            <a:spcBef>
              <a:spcPts val="0"/>
            </a:spcBef>
            <a:spcAft>
              <a:spcPts val="0"/>
            </a:spcAft>
            <a:defRPr/>
          </a:pPr>
          <a:r>
            <a:rPr lang="en-AU" sz="1000" i="1" kern="0">
              <a:solidFill>
                <a:srgbClr val="665546">
                  <a:lumMod val="95000"/>
                  <a:lumOff val="5000"/>
                </a:srgbClr>
              </a:solidFill>
              <a:ea typeface="ＭＳ Ｐゴシック" pitchFamily="-106" charset="-128"/>
              <a:cs typeface="+mn-cs"/>
            </a:rPr>
            <a:t>“The benefits and why we want them”</a:t>
          </a:r>
        </a:p>
      </xdr:txBody>
    </xdr:sp>
    <xdr:clientData/>
  </xdr:twoCellAnchor>
  <xdr:twoCellAnchor>
    <xdr:from>
      <xdr:col>8</xdr:col>
      <xdr:colOff>681794</xdr:colOff>
      <xdr:row>8</xdr:row>
      <xdr:rowOff>9447</xdr:rowOff>
    </xdr:from>
    <xdr:to>
      <xdr:col>10</xdr:col>
      <xdr:colOff>108354</xdr:colOff>
      <xdr:row>8</xdr:row>
      <xdr:rowOff>141712</xdr:rowOff>
    </xdr:to>
    <xdr:sp macro="" textlink="">
      <xdr:nvSpPr>
        <xdr:cNvPr id="13" name="Right Brace 12"/>
        <xdr:cNvSpPr/>
      </xdr:nvSpPr>
      <xdr:spPr bwMode="gray">
        <a:xfrm rot="16200000">
          <a:off x="6405891" y="1571975"/>
          <a:ext cx="132265" cy="1198210"/>
        </a:xfrm>
        <a:prstGeom prst="rightBrace">
          <a:avLst/>
        </a:prstGeom>
        <a:noFill/>
        <a:ln w="9525" cap="flat" cmpd="sng" algn="ctr">
          <a:solidFill>
            <a:srgbClr val="665546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wrap="square" lIns="65306" tIns="32653" rIns="65306" bIns="32653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defTabSz="653064" fontAlgn="auto">
            <a:spcBef>
              <a:spcPts val="0"/>
            </a:spcBef>
            <a:spcAft>
              <a:spcPts val="0"/>
            </a:spcAft>
            <a:defRPr/>
          </a:pPr>
          <a:endParaRPr lang="en-AU" sz="1000" kern="0">
            <a:solidFill>
              <a:srgbClr val="CAC0B6"/>
            </a:solidFill>
            <a:cs typeface="+mn-cs"/>
          </a:endParaRPr>
        </a:p>
      </xdr:txBody>
    </xdr:sp>
    <xdr:clientData/>
  </xdr:twoCellAnchor>
  <xdr:twoCellAnchor>
    <xdr:from>
      <xdr:col>11</xdr:col>
      <xdr:colOff>56611</xdr:colOff>
      <xdr:row>8</xdr:row>
      <xdr:rowOff>9447</xdr:rowOff>
    </xdr:from>
    <xdr:to>
      <xdr:col>12</xdr:col>
      <xdr:colOff>30089</xdr:colOff>
      <xdr:row>8</xdr:row>
      <xdr:rowOff>141712</xdr:rowOff>
    </xdr:to>
    <xdr:sp macro="" textlink="">
      <xdr:nvSpPr>
        <xdr:cNvPr id="14" name="Right Brace 13"/>
        <xdr:cNvSpPr/>
      </xdr:nvSpPr>
      <xdr:spPr bwMode="gray">
        <a:xfrm rot="16200000">
          <a:off x="7744855" y="1493778"/>
          <a:ext cx="132265" cy="1354603"/>
        </a:xfrm>
        <a:prstGeom prst="rightBrace">
          <a:avLst/>
        </a:prstGeom>
        <a:noFill/>
        <a:ln w="9525" cap="flat" cmpd="sng" algn="ctr">
          <a:solidFill>
            <a:srgbClr val="665546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wrap="square" lIns="65306" tIns="32653" rIns="65306" bIns="32653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defTabSz="653064" fontAlgn="auto">
            <a:spcBef>
              <a:spcPts val="0"/>
            </a:spcBef>
            <a:spcAft>
              <a:spcPts val="0"/>
            </a:spcAft>
            <a:defRPr/>
          </a:pPr>
          <a:endParaRPr lang="en-AU" sz="1000" kern="0">
            <a:solidFill>
              <a:srgbClr val="CAC0B6"/>
            </a:solidFill>
            <a:cs typeface="+mn-cs"/>
          </a:endParaRPr>
        </a:p>
      </xdr:txBody>
    </xdr:sp>
    <xdr:clientData/>
  </xdr:twoCellAnchor>
  <xdr:twoCellAnchor>
    <xdr:from>
      <xdr:col>8</xdr:col>
      <xdr:colOff>667357</xdr:colOff>
      <xdr:row>9</xdr:row>
      <xdr:rowOff>26210</xdr:rowOff>
    </xdr:from>
    <xdr:to>
      <xdr:col>8</xdr:col>
      <xdr:colOff>667357</xdr:colOff>
      <xdr:row>16</xdr:row>
      <xdr:rowOff>209550</xdr:rowOff>
    </xdr:to>
    <xdr:cxnSp macro="">
      <xdr:nvCxnSpPr>
        <xdr:cNvPr id="18" name="Straight Connector 17"/>
        <xdr:cNvCxnSpPr>
          <a:cxnSpLocks noChangeShapeType="1"/>
        </xdr:cNvCxnSpPr>
      </xdr:nvCxnSpPr>
      <xdr:spPr bwMode="gray">
        <a:xfrm>
          <a:off x="5858482" y="2359835"/>
          <a:ext cx="0" cy="1850215"/>
        </a:xfrm>
        <a:prstGeom prst="line">
          <a:avLst/>
        </a:prstGeom>
        <a:noFill/>
        <a:ln w="9525" algn="ctr">
          <a:solidFill>
            <a:srgbClr val="BAAA9B"/>
          </a:solidFill>
          <a:prstDash val="sysDash"/>
          <a:round/>
          <a:headEnd/>
          <a:tailEnd/>
        </a:ln>
      </xdr:spPr>
    </xdr:cxnSp>
    <xdr:clientData/>
  </xdr:twoCellAnchor>
  <xdr:twoCellAnchor>
    <xdr:from>
      <xdr:col>5</xdr:col>
      <xdr:colOff>1435441</xdr:colOff>
      <xdr:row>9</xdr:row>
      <xdr:rowOff>26210</xdr:rowOff>
    </xdr:from>
    <xdr:to>
      <xdr:col>5</xdr:col>
      <xdr:colOff>1435441</xdr:colOff>
      <xdr:row>16</xdr:row>
      <xdr:rowOff>180975</xdr:rowOff>
    </xdr:to>
    <xdr:cxnSp macro="">
      <xdr:nvCxnSpPr>
        <xdr:cNvPr id="19" name="Straight Connector 18"/>
        <xdr:cNvCxnSpPr>
          <a:cxnSpLocks noChangeShapeType="1"/>
        </xdr:cNvCxnSpPr>
      </xdr:nvCxnSpPr>
      <xdr:spPr bwMode="gray">
        <a:xfrm>
          <a:off x="4369141" y="2359835"/>
          <a:ext cx="0" cy="1821640"/>
        </a:xfrm>
        <a:prstGeom prst="line">
          <a:avLst/>
        </a:prstGeom>
        <a:noFill/>
        <a:ln w="9525" algn="ctr">
          <a:solidFill>
            <a:srgbClr val="BAAA9B"/>
          </a:solidFill>
          <a:prstDash val="sysDash"/>
          <a:round/>
          <a:headEnd/>
          <a:tailEnd/>
        </a:ln>
      </xdr:spPr>
    </xdr:cxnSp>
    <xdr:clientData/>
  </xdr:twoCellAnchor>
  <xdr:twoCellAnchor>
    <xdr:from>
      <xdr:col>8</xdr:col>
      <xdr:colOff>146064</xdr:colOff>
      <xdr:row>17</xdr:row>
      <xdr:rowOff>27450</xdr:rowOff>
    </xdr:from>
    <xdr:to>
      <xdr:col>11</xdr:col>
      <xdr:colOff>1233985</xdr:colOff>
      <xdr:row>18</xdr:row>
      <xdr:rowOff>86922</xdr:rowOff>
    </xdr:to>
    <xdr:sp macro="" textlink="">
      <xdr:nvSpPr>
        <xdr:cNvPr id="20" name="Pentagon 19"/>
        <xdr:cNvSpPr/>
      </xdr:nvSpPr>
      <xdr:spPr bwMode="gray">
        <a:xfrm flipH="1">
          <a:off x="5337189" y="4266075"/>
          <a:ext cx="2973871" cy="297597"/>
        </a:xfrm>
        <a:prstGeom prst="homePlate">
          <a:avLst/>
        </a:prstGeom>
        <a:solidFill>
          <a:schemeClr val="accent2">
            <a:lumMod val="50000"/>
          </a:schemeClr>
        </a:solidFill>
        <a:ln w="25400" cap="flat" cmpd="sng" algn="ctr">
          <a:noFill/>
          <a:prstDash val="solid"/>
        </a:ln>
        <a:effectLst/>
      </xdr:spPr>
      <xdr:txBody>
        <a:bodyPr wrap="square" rIns="36000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fontAlgn="auto">
            <a:spcBef>
              <a:spcPts val="0"/>
            </a:spcBef>
            <a:spcAft>
              <a:spcPts val="0"/>
            </a:spcAft>
            <a:defRPr/>
          </a:pPr>
          <a:r>
            <a:rPr lang="en-AU" sz="900" kern="0">
              <a:solidFill>
                <a:srgbClr val="FFFFFF"/>
              </a:solidFill>
              <a:ea typeface="+mn-ea"/>
              <a:cs typeface="+mn-cs"/>
            </a:rPr>
            <a:t>To achieve the Objectives and Benefits, a “new way of working” is required </a:t>
          </a:r>
        </a:p>
      </xdr:txBody>
    </xdr:sp>
    <xdr:clientData/>
  </xdr:twoCellAnchor>
  <xdr:twoCellAnchor>
    <xdr:from>
      <xdr:col>2</xdr:col>
      <xdr:colOff>621326</xdr:colOff>
      <xdr:row>17</xdr:row>
      <xdr:rowOff>27450</xdr:rowOff>
    </xdr:from>
    <xdr:to>
      <xdr:col>8</xdr:col>
      <xdr:colOff>102756</xdr:colOff>
      <xdr:row>18</xdr:row>
      <xdr:rowOff>86922</xdr:rowOff>
    </xdr:to>
    <xdr:sp macro="" textlink="">
      <xdr:nvSpPr>
        <xdr:cNvPr id="22" name="Pentagon 21"/>
        <xdr:cNvSpPr/>
      </xdr:nvSpPr>
      <xdr:spPr bwMode="gray">
        <a:xfrm>
          <a:off x="1659551" y="4266075"/>
          <a:ext cx="3634330" cy="297597"/>
        </a:xfrm>
        <a:prstGeom prst="homePlate">
          <a:avLst/>
        </a:prstGeom>
        <a:solidFill>
          <a:schemeClr val="accent2">
            <a:lumMod val="50000"/>
          </a:schemeClr>
        </a:solidFill>
        <a:ln w="25400" cap="flat" cmpd="sng" algn="ctr">
          <a:noFill/>
          <a:prstDash val="solid"/>
        </a:ln>
        <a:effectLst/>
      </xdr:spPr>
      <xdr:txBody>
        <a:bodyPr wrap="square" lIns="36000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fontAlgn="auto">
            <a:spcBef>
              <a:spcPts val="0"/>
            </a:spcBef>
            <a:spcAft>
              <a:spcPts val="0"/>
            </a:spcAft>
            <a:defRPr/>
          </a:pPr>
          <a:r>
            <a:rPr lang="en-AU" sz="900" kern="0">
              <a:solidFill>
                <a:srgbClr val="FFFFFF"/>
              </a:solidFill>
              <a:ea typeface="+mn-ea"/>
              <a:cs typeface="+mn-cs"/>
            </a:rPr>
            <a:t>To achieve the “new way of working”, IT, People and Process enablers are required</a:t>
          </a:r>
        </a:p>
      </xdr:txBody>
    </xdr:sp>
    <xdr:clientData/>
  </xdr:twoCellAnchor>
  <xdr:twoCellAnchor>
    <xdr:from>
      <xdr:col>2</xdr:col>
      <xdr:colOff>275240</xdr:colOff>
      <xdr:row>10</xdr:row>
      <xdr:rowOff>207039</xdr:rowOff>
    </xdr:from>
    <xdr:to>
      <xdr:col>14</xdr:col>
      <xdr:colOff>23890</xdr:colOff>
      <xdr:row>15</xdr:row>
      <xdr:rowOff>215817</xdr:rowOff>
    </xdr:to>
    <xdr:grpSp>
      <xdr:nvGrpSpPr>
        <xdr:cNvPr id="24" name="Group 23"/>
        <xdr:cNvGrpSpPr/>
      </xdr:nvGrpSpPr>
      <xdr:grpSpPr bwMode="gray">
        <a:xfrm>
          <a:off x="1313465" y="2540664"/>
          <a:ext cx="7397225" cy="1199403"/>
          <a:chOff x="422371" y="2007624"/>
          <a:chExt cx="8249443" cy="1070341"/>
        </a:xfrm>
      </xdr:grpSpPr>
      <xdr:sp macro="" textlink="">
        <xdr:nvSpPr>
          <xdr:cNvPr id="30" name="Rectangle 29"/>
          <xdr:cNvSpPr/>
        </xdr:nvSpPr>
        <xdr:spPr bwMode="gray">
          <a:xfrm>
            <a:off x="3388691" y="2007624"/>
            <a:ext cx="1003687" cy="481893"/>
          </a:xfrm>
          <a:prstGeom prst="rect">
            <a:avLst/>
          </a:prstGeom>
          <a:solidFill>
            <a:schemeClr val="accent3"/>
          </a:solidFill>
          <a:ln w="9525" cap="flat" cmpd="sng" algn="ctr">
            <a:noFill/>
            <a:prstDash val="solid"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xdr:spPr>
        <xdr:txBody>
          <a:bodyPr wrap="square" lIns="48862" tIns="24431" rIns="48862" bIns="24431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fontAlgn="auto">
              <a:spcBef>
                <a:spcPts val="0"/>
              </a:spcBef>
              <a:spcAft>
                <a:spcPts val="0"/>
              </a:spcAft>
              <a:defRPr/>
            </a:pPr>
            <a:r>
              <a:rPr lang="en-AU" sz="900" kern="0">
                <a:solidFill>
                  <a:srgbClr val="FFFFFF"/>
                </a:solidFill>
                <a:ea typeface="+mn-ea"/>
                <a:cs typeface="+mn-cs"/>
              </a:rPr>
              <a:t>Performance</a:t>
            </a:r>
            <a:r>
              <a:rPr lang="en-AU" sz="900" kern="0" baseline="0">
                <a:solidFill>
                  <a:srgbClr val="FFFFFF"/>
                </a:solidFill>
                <a:ea typeface="+mn-ea"/>
                <a:cs typeface="+mn-cs"/>
              </a:rPr>
              <a:t> Management System</a:t>
            </a:r>
            <a:endParaRPr lang="en-AU" sz="900" kern="0">
              <a:solidFill>
                <a:srgbClr val="FFFFFF"/>
              </a:solidFill>
              <a:ea typeface="+mn-ea"/>
              <a:cs typeface="+mn-cs"/>
            </a:endParaRPr>
          </a:p>
        </xdr:txBody>
      </xdr:sp>
      <xdr:sp macro="" textlink="">
        <xdr:nvSpPr>
          <xdr:cNvPr id="31" name="Rectangle 30"/>
          <xdr:cNvSpPr/>
        </xdr:nvSpPr>
        <xdr:spPr bwMode="gray">
          <a:xfrm>
            <a:off x="6387543" y="2254126"/>
            <a:ext cx="1003687" cy="481893"/>
          </a:xfrm>
          <a:prstGeom prst="rect">
            <a:avLst/>
          </a:prstGeom>
          <a:solidFill>
            <a:schemeClr val="accent5"/>
          </a:solidFill>
          <a:ln w="9525" cap="flat" cmpd="sng" algn="ctr">
            <a:noFill/>
            <a:prstDash val="solid"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xdr:spPr>
        <xdr:txBody>
          <a:bodyPr wrap="square" lIns="48862" tIns="24431" rIns="48862" bIns="24431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fontAlgn="auto">
              <a:spcBef>
                <a:spcPts val="0"/>
              </a:spcBef>
              <a:spcAft>
                <a:spcPts val="0"/>
              </a:spcAft>
              <a:defRPr/>
            </a:pPr>
            <a:r>
              <a:rPr lang="en-AU" sz="900" kern="0">
                <a:solidFill>
                  <a:srgbClr val="FFFFFF"/>
                </a:solidFill>
                <a:ea typeface="+mn-ea"/>
                <a:cs typeface="+mn-cs"/>
              </a:rPr>
              <a:t>Increase revenue from accurate timesheets</a:t>
            </a:r>
          </a:p>
        </xdr:txBody>
      </xdr:sp>
      <xdr:sp macro="" textlink="">
        <xdr:nvSpPr>
          <xdr:cNvPr id="32" name="Rectangle 31"/>
          <xdr:cNvSpPr/>
        </xdr:nvSpPr>
        <xdr:spPr bwMode="gray">
          <a:xfrm>
            <a:off x="7668127" y="2254396"/>
            <a:ext cx="1003687" cy="481893"/>
          </a:xfrm>
          <a:prstGeom prst="rect">
            <a:avLst/>
          </a:prstGeom>
          <a:solidFill>
            <a:schemeClr val="accent6"/>
          </a:solidFill>
          <a:ln w="9525" cap="flat" cmpd="sng" algn="ctr">
            <a:noFill/>
            <a:prstDash val="solid"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xdr:spPr>
        <xdr:txBody>
          <a:bodyPr wrap="square" lIns="48862" tIns="24431" rIns="48862" bIns="24431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fontAlgn="auto">
              <a:spcBef>
                <a:spcPts val="0"/>
              </a:spcBef>
              <a:spcAft>
                <a:spcPts val="0"/>
              </a:spcAft>
              <a:defRPr/>
            </a:pPr>
            <a:r>
              <a:rPr lang="en-AU" sz="900" kern="0">
                <a:solidFill>
                  <a:srgbClr val="FFFFFF"/>
                </a:solidFill>
                <a:ea typeface="+mn-ea"/>
                <a:cs typeface="+mn-cs"/>
              </a:rPr>
              <a:t>Post  Merger Environment (Internal)</a:t>
            </a:r>
          </a:p>
        </xdr:txBody>
      </xdr:sp>
      <xdr:sp macro="" textlink="">
        <xdr:nvSpPr>
          <xdr:cNvPr id="33" name="Rectangle 32"/>
          <xdr:cNvSpPr/>
        </xdr:nvSpPr>
        <xdr:spPr bwMode="gray">
          <a:xfrm>
            <a:off x="1930351" y="2007625"/>
            <a:ext cx="1003687" cy="481893"/>
          </a:xfrm>
          <a:prstGeom prst="rect">
            <a:avLst/>
          </a:prstGeom>
          <a:solidFill>
            <a:schemeClr val="accent2"/>
          </a:solidFill>
          <a:ln w="9525" cap="flat" cmpd="sng" algn="ctr">
            <a:noFill/>
            <a:prstDash val="solid"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xdr:spPr>
        <xdr:txBody>
          <a:bodyPr wrap="square" lIns="48862" tIns="24431" rIns="48862" bIns="24431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fontAlgn="auto">
              <a:spcBef>
                <a:spcPts val="0"/>
              </a:spcBef>
              <a:spcAft>
                <a:spcPts val="0"/>
              </a:spcAft>
              <a:defRPr/>
            </a:pPr>
            <a:r>
              <a:rPr lang="en-AU" sz="900" kern="0">
                <a:solidFill>
                  <a:srgbClr val="FFFFFF"/>
                </a:solidFill>
                <a:ea typeface="+mn-ea"/>
                <a:cs typeface="+mn-cs"/>
              </a:rPr>
              <a:t>Business Analytics</a:t>
            </a:r>
          </a:p>
        </xdr:txBody>
      </xdr:sp>
      <xdr:sp macro="" textlink="">
        <xdr:nvSpPr>
          <xdr:cNvPr id="34" name="Rectangle 33"/>
          <xdr:cNvSpPr/>
        </xdr:nvSpPr>
        <xdr:spPr bwMode="gray">
          <a:xfrm>
            <a:off x="4925522" y="2007624"/>
            <a:ext cx="1003687" cy="481893"/>
          </a:xfrm>
          <a:prstGeom prst="rect">
            <a:avLst/>
          </a:prstGeom>
          <a:solidFill>
            <a:schemeClr val="accent4"/>
          </a:solidFill>
          <a:ln w="9525" cap="flat" cmpd="sng" algn="ctr">
            <a:noFill/>
            <a:prstDash val="solid"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xdr:spPr>
        <xdr:txBody>
          <a:bodyPr wrap="square" lIns="48862" tIns="24431" rIns="48862" bIns="24431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fontAlgn="auto">
              <a:spcBef>
                <a:spcPts val="0"/>
              </a:spcBef>
              <a:spcAft>
                <a:spcPts val="0"/>
              </a:spcAft>
              <a:defRPr/>
            </a:pPr>
            <a:r>
              <a:rPr lang="en-AU" sz="900" kern="0">
                <a:solidFill>
                  <a:srgbClr val="FFFFFF"/>
                </a:solidFill>
                <a:ea typeface="+mn-ea"/>
                <a:cs typeface="+mn-cs"/>
              </a:rPr>
              <a:t>Increase capture of hours</a:t>
            </a:r>
          </a:p>
        </xdr:txBody>
      </xdr:sp>
      <xdr:sp macro="" textlink="">
        <xdr:nvSpPr>
          <xdr:cNvPr id="35" name="Rectangle 34"/>
          <xdr:cNvSpPr/>
        </xdr:nvSpPr>
        <xdr:spPr bwMode="gray">
          <a:xfrm>
            <a:off x="422371" y="2007625"/>
            <a:ext cx="1003687" cy="481893"/>
          </a:xfrm>
          <a:prstGeom prst="rect">
            <a:avLst/>
          </a:prstGeom>
          <a:solidFill>
            <a:schemeClr val="accent1"/>
          </a:solidFill>
          <a:ln w="9525" cap="flat" cmpd="sng" algn="ctr">
            <a:noFill/>
            <a:prstDash val="solid"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xdr:spPr>
        <xdr:txBody>
          <a:bodyPr wrap="square" lIns="48862" tIns="24431" rIns="48862" bIns="24431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fontAlgn="auto">
              <a:spcBef>
                <a:spcPts val="0"/>
              </a:spcBef>
              <a:spcAft>
                <a:spcPts val="0"/>
              </a:spcAft>
              <a:defRPr/>
            </a:pPr>
            <a:r>
              <a:rPr lang="en-AU" sz="900" kern="0">
                <a:solidFill>
                  <a:srgbClr val="FFFFFF"/>
                </a:solidFill>
                <a:ea typeface="ＭＳ Ｐゴシック" pitchFamily="-106" charset="-128"/>
                <a:cs typeface="+mn-cs"/>
              </a:rPr>
              <a:t>Server Virtualisation </a:t>
            </a:r>
            <a:endParaRPr lang="en-AU" sz="900" kern="0">
              <a:solidFill>
                <a:srgbClr val="FFFFFF"/>
              </a:solidFill>
              <a:ea typeface="+mn-ea"/>
              <a:cs typeface="+mn-cs"/>
            </a:endParaRPr>
          </a:p>
        </xdr:txBody>
      </xdr:sp>
      <xdr:sp macro="" textlink="">
        <xdr:nvSpPr>
          <xdr:cNvPr id="41" name="Rectangle 40"/>
          <xdr:cNvSpPr/>
        </xdr:nvSpPr>
        <xdr:spPr bwMode="gray">
          <a:xfrm>
            <a:off x="4914900" y="2596072"/>
            <a:ext cx="1003687" cy="481893"/>
          </a:xfrm>
          <a:prstGeom prst="rect">
            <a:avLst/>
          </a:prstGeom>
          <a:solidFill>
            <a:schemeClr val="accent4"/>
          </a:solidFill>
          <a:ln w="9525" cap="flat" cmpd="sng" algn="ctr">
            <a:noFill/>
            <a:prstDash val="solid"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xdr:spPr>
        <xdr:txBody>
          <a:bodyPr wrap="square" lIns="48862" tIns="24431" rIns="48862" bIns="24431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fontAlgn="auto">
              <a:spcBef>
                <a:spcPts val="0"/>
              </a:spcBef>
              <a:spcAft>
                <a:spcPts val="0"/>
              </a:spcAft>
              <a:defRPr/>
            </a:pPr>
            <a:r>
              <a:rPr lang="en-AU" sz="900" kern="0">
                <a:solidFill>
                  <a:srgbClr val="FFFFFF"/>
                </a:solidFill>
                <a:ea typeface="+mn-ea"/>
                <a:cs typeface="+mn-cs"/>
              </a:rPr>
              <a:t>Increase %</a:t>
            </a:r>
            <a:r>
              <a:rPr lang="en-AU" sz="900" kern="0" baseline="0">
                <a:solidFill>
                  <a:srgbClr val="FFFFFF"/>
                </a:solidFill>
                <a:ea typeface="+mn-ea"/>
                <a:cs typeface="+mn-cs"/>
              </a:rPr>
              <a:t> of chargeable time</a:t>
            </a:r>
            <a:endParaRPr lang="en-AU" sz="900" kern="0">
              <a:solidFill>
                <a:srgbClr val="FFFFFF"/>
              </a:solidFill>
              <a:ea typeface="+mn-ea"/>
              <a:cs typeface="+mn-cs"/>
            </a:endParaRPr>
          </a:p>
        </xdr:txBody>
      </xdr:sp>
      <xdr:sp macro="" textlink="">
        <xdr:nvSpPr>
          <xdr:cNvPr id="44" name="Rectangle 43"/>
          <xdr:cNvSpPr/>
        </xdr:nvSpPr>
        <xdr:spPr bwMode="gray">
          <a:xfrm>
            <a:off x="3388691" y="2596071"/>
            <a:ext cx="1003687" cy="481893"/>
          </a:xfrm>
          <a:prstGeom prst="rect">
            <a:avLst/>
          </a:prstGeom>
          <a:solidFill>
            <a:schemeClr val="accent3"/>
          </a:solidFill>
          <a:ln w="9525" cap="flat" cmpd="sng" algn="ctr">
            <a:noFill/>
            <a:prstDash val="solid"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xdr:spPr>
        <xdr:txBody>
          <a:bodyPr wrap="square" lIns="48862" tIns="24431" rIns="48862" bIns="24431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fontAlgn="auto">
              <a:spcBef>
                <a:spcPts val="0"/>
              </a:spcBef>
              <a:spcAft>
                <a:spcPts val="0"/>
              </a:spcAft>
              <a:defRPr/>
            </a:pPr>
            <a:r>
              <a:rPr lang="en-AU" sz="900" kern="0">
                <a:solidFill>
                  <a:srgbClr val="FFFFFF"/>
                </a:solidFill>
                <a:ea typeface="+mn-ea"/>
                <a:cs typeface="+mn-cs"/>
              </a:rPr>
              <a:t>Timesheet</a:t>
            </a:r>
            <a:r>
              <a:rPr lang="en-AU" sz="900" kern="0" baseline="0">
                <a:solidFill>
                  <a:srgbClr val="FFFFFF"/>
                </a:solidFill>
                <a:ea typeface="+mn-ea"/>
                <a:cs typeface="+mn-cs"/>
              </a:rPr>
              <a:t> System</a:t>
            </a:r>
            <a:endParaRPr lang="en-AU" sz="900" kern="0">
              <a:solidFill>
                <a:srgbClr val="FFFFFF"/>
              </a:solidFill>
              <a:ea typeface="+mn-ea"/>
              <a:cs typeface="+mn-cs"/>
            </a:endParaRPr>
          </a:p>
        </xdr:txBody>
      </xdr:sp>
      <xdr:sp macro="" textlink="">
        <xdr:nvSpPr>
          <xdr:cNvPr id="48" name="Rectangle 47"/>
          <xdr:cNvSpPr/>
        </xdr:nvSpPr>
        <xdr:spPr bwMode="gray">
          <a:xfrm>
            <a:off x="1930351" y="2596072"/>
            <a:ext cx="1003687" cy="481893"/>
          </a:xfrm>
          <a:prstGeom prst="rect">
            <a:avLst/>
          </a:prstGeom>
          <a:solidFill>
            <a:schemeClr val="accent2"/>
          </a:solidFill>
          <a:ln w="9525" cap="flat" cmpd="sng" algn="ctr">
            <a:noFill/>
            <a:prstDash val="solid"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xdr:spPr>
        <xdr:txBody>
          <a:bodyPr wrap="square" lIns="48862" tIns="24431" rIns="48862" bIns="24431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fontAlgn="auto">
              <a:spcBef>
                <a:spcPts val="0"/>
              </a:spcBef>
              <a:spcAft>
                <a:spcPts val="0"/>
              </a:spcAft>
              <a:defRPr/>
            </a:pPr>
            <a:r>
              <a:rPr lang="en-AU" sz="900" kern="0">
                <a:solidFill>
                  <a:srgbClr val="FFFFFF"/>
                </a:solidFill>
                <a:ea typeface="+mn-ea"/>
                <a:cs typeface="+mn-cs"/>
              </a:rPr>
              <a:t>Standardise Business Processes </a:t>
            </a:r>
          </a:p>
        </xdr:txBody>
      </xdr:sp>
      <xdr:sp macro="" textlink="">
        <xdr:nvSpPr>
          <xdr:cNvPr id="50" name="Rectangle 49"/>
          <xdr:cNvSpPr/>
        </xdr:nvSpPr>
        <xdr:spPr bwMode="gray">
          <a:xfrm>
            <a:off x="422371" y="2596072"/>
            <a:ext cx="1003687" cy="481893"/>
          </a:xfrm>
          <a:prstGeom prst="rect">
            <a:avLst/>
          </a:prstGeom>
          <a:solidFill>
            <a:schemeClr val="accent1"/>
          </a:solidFill>
          <a:ln w="9525" cap="flat" cmpd="sng" algn="ctr">
            <a:noFill/>
            <a:prstDash val="solid"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xdr:spPr>
        <xdr:txBody>
          <a:bodyPr wrap="square" lIns="48862" tIns="24431" rIns="48862" bIns="24431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fontAlgn="auto">
              <a:spcBef>
                <a:spcPts val="0"/>
              </a:spcBef>
              <a:spcAft>
                <a:spcPts val="0"/>
              </a:spcAft>
              <a:defRPr/>
            </a:pPr>
            <a:r>
              <a:rPr lang="en-AU" sz="900" kern="0">
                <a:solidFill>
                  <a:srgbClr val="FFFFFF"/>
                </a:solidFill>
                <a:ea typeface="ＭＳ Ｐゴシック" pitchFamily="-106" charset="-128"/>
                <a:cs typeface="+mn-cs"/>
              </a:rPr>
              <a:t>Software-As-A-Service</a:t>
            </a:r>
            <a:endParaRPr lang="en-AU" sz="900" kern="0">
              <a:solidFill>
                <a:srgbClr val="FFFFFF"/>
              </a:solidFill>
              <a:ea typeface="+mn-ea"/>
              <a:cs typeface="+mn-cs"/>
            </a:endParaRPr>
          </a:p>
        </xdr:txBody>
      </xdr:sp>
    </xdr:grpSp>
    <xdr:clientData/>
  </xdr:twoCellAnchor>
  <xdr:twoCellAnchor>
    <xdr:from>
      <xdr:col>2</xdr:col>
      <xdr:colOff>1581722</xdr:colOff>
      <xdr:row>9</xdr:row>
      <xdr:rowOff>136431</xdr:rowOff>
    </xdr:from>
    <xdr:to>
      <xdr:col>5</xdr:col>
      <xdr:colOff>734150</xdr:colOff>
      <xdr:row>10</xdr:row>
      <xdr:rowOff>165420</xdr:rowOff>
    </xdr:to>
    <xdr:sp macro="" textlink="">
      <xdr:nvSpPr>
        <xdr:cNvPr id="25" name="TextBox 9"/>
        <xdr:cNvSpPr txBox="1"/>
      </xdr:nvSpPr>
      <xdr:spPr bwMode="gray">
        <a:xfrm>
          <a:off x="2619947" y="2470056"/>
          <a:ext cx="1047903" cy="267114"/>
        </a:xfrm>
        <a:prstGeom prst="rect">
          <a:avLst/>
        </a:prstGeom>
        <a:solidFill>
          <a:schemeClr val="bg1"/>
        </a:solidFill>
      </xdr:spPr>
      <xdr:txBody>
        <a:bodyPr wrap="square" lIns="0" tIns="0" rIns="0" bIns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fontAlgn="auto">
            <a:spcBef>
              <a:spcPts val="0"/>
            </a:spcBef>
            <a:spcAft>
              <a:spcPts val="0"/>
            </a:spcAft>
            <a:defRPr/>
          </a:pPr>
          <a:r>
            <a:rPr lang="en-AU" sz="1000" b="1" kern="0">
              <a:solidFill>
                <a:srgbClr val="665546">
                  <a:lumMod val="95000"/>
                  <a:lumOff val="5000"/>
                </a:srgbClr>
              </a:solidFill>
              <a:ea typeface="ＭＳ Ｐゴシック" pitchFamily="-106" charset="-128"/>
              <a:cs typeface="+mn-cs"/>
            </a:rPr>
            <a:t>People + Process</a:t>
          </a:r>
        </a:p>
        <a:p>
          <a:pPr fontAlgn="auto">
            <a:spcBef>
              <a:spcPts val="0"/>
            </a:spcBef>
            <a:spcAft>
              <a:spcPts val="0"/>
            </a:spcAft>
            <a:defRPr/>
          </a:pPr>
          <a:r>
            <a:rPr lang="en-AU" sz="1000" b="1" kern="0">
              <a:solidFill>
                <a:srgbClr val="665546">
                  <a:lumMod val="95000"/>
                  <a:lumOff val="5000"/>
                </a:srgbClr>
              </a:solidFill>
              <a:ea typeface="ＭＳ Ｐゴシック" pitchFamily="-106" charset="-128"/>
              <a:cs typeface="+mn-cs"/>
            </a:rPr>
            <a:t>       Enablers</a:t>
          </a:r>
        </a:p>
      </xdr:txBody>
    </xdr:sp>
    <xdr:clientData/>
  </xdr:twoCellAnchor>
  <xdr:twoCellAnchor>
    <xdr:from>
      <xdr:col>5</xdr:col>
      <xdr:colOff>985511</xdr:colOff>
      <xdr:row>10</xdr:row>
      <xdr:rowOff>31864</xdr:rowOff>
    </xdr:from>
    <xdr:to>
      <xdr:col>6</xdr:col>
      <xdr:colOff>37723</xdr:colOff>
      <xdr:row>10</xdr:row>
      <xdr:rowOff>165421</xdr:rowOff>
    </xdr:to>
    <xdr:sp macro="" textlink="">
      <xdr:nvSpPr>
        <xdr:cNvPr id="26" name="TextBox 10"/>
        <xdr:cNvSpPr txBox="1"/>
      </xdr:nvSpPr>
      <xdr:spPr bwMode="gray">
        <a:xfrm>
          <a:off x="3919211" y="2603614"/>
          <a:ext cx="1081037" cy="133557"/>
        </a:xfrm>
        <a:prstGeom prst="rect">
          <a:avLst/>
        </a:prstGeom>
        <a:solidFill>
          <a:schemeClr val="bg1"/>
        </a:solidFill>
      </xdr:spPr>
      <xdr:txBody>
        <a:bodyPr wrap="square" lIns="0" tIns="0" rIns="0" bIns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fontAlgn="auto">
            <a:spcBef>
              <a:spcPts val="0"/>
            </a:spcBef>
            <a:spcAft>
              <a:spcPts val="0"/>
            </a:spcAft>
            <a:defRPr/>
          </a:pPr>
          <a:r>
            <a:rPr lang="en-AU" sz="1000" b="1" kern="0">
              <a:solidFill>
                <a:srgbClr val="665546">
                  <a:lumMod val="95000"/>
                  <a:lumOff val="5000"/>
                </a:srgbClr>
              </a:solidFill>
              <a:ea typeface="ＭＳ Ｐゴシック" pitchFamily="-106" charset="-128"/>
              <a:cs typeface="+mn-cs"/>
            </a:rPr>
            <a:t>Business Changes</a:t>
          </a:r>
        </a:p>
      </xdr:txBody>
    </xdr:sp>
    <xdr:clientData/>
  </xdr:twoCellAnchor>
  <xdr:twoCellAnchor>
    <xdr:from>
      <xdr:col>8</xdr:col>
      <xdr:colOff>135622</xdr:colOff>
      <xdr:row>10</xdr:row>
      <xdr:rowOff>31864</xdr:rowOff>
    </xdr:from>
    <xdr:to>
      <xdr:col>8</xdr:col>
      <xdr:colOff>1168852</xdr:colOff>
      <xdr:row>10</xdr:row>
      <xdr:rowOff>165421</xdr:rowOff>
    </xdr:to>
    <xdr:sp macro="" textlink="">
      <xdr:nvSpPr>
        <xdr:cNvPr id="27" name="TextBox 11"/>
        <xdr:cNvSpPr txBox="1"/>
      </xdr:nvSpPr>
      <xdr:spPr bwMode="gray">
        <a:xfrm>
          <a:off x="5326747" y="2603614"/>
          <a:ext cx="1033230" cy="133557"/>
        </a:xfrm>
        <a:prstGeom prst="rect">
          <a:avLst/>
        </a:prstGeom>
        <a:solidFill>
          <a:schemeClr val="bg1"/>
        </a:solidFill>
      </xdr:spPr>
      <xdr:txBody>
        <a:bodyPr wrap="square" lIns="0" tIns="0" rIns="0" bIns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fontAlgn="auto">
            <a:spcBef>
              <a:spcPts val="0"/>
            </a:spcBef>
            <a:spcAft>
              <a:spcPts val="0"/>
            </a:spcAft>
            <a:defRPr/>
          </a:pPr>
          <a:r>
            <a:rPr lang="en-AU" sz="1000" b="1" kern="0">
              <a:solidFill>
                <a:srgbClr val="665546">
                  <a:lumMod val="95000"/>
                  <a:lumOff val="5000"/>
                </a:srgbClr>
              </a:solidFill>
              <a:ea typeface="ＭＳ Ｐゴシック" pitchFamily="-106" charset="-128"/>
              <a:cs typeface="+mn-cs"/>
            </a:rPr>
            <a:t>Business Benefit</a:t>
          </a:r>
        </a:p>
      </xdr:txBody>
    </xdr:sp>
    <xdr:clientData/>
  </xdr:twoCellAnchor>
  <xdr:twoCellAnchor>
    <xdr:from>
      <xdr:col>11</xdr:col>
      <xdr:colOff>678573</xdr:colOff>
      <xdr:row>9</xdr:row>
      <xdr:rowOff>136431</xdr:rowOff>
    </xdr:from>
    <xdr:to>
      <xdr:col>12</xdr:col>
      <xdr:colOff>29482</xdr:colOff>
      <xdr:row>10</xdr:row>
      <xdr:rowOff>165420</xdr:rowOff>
    </xdr:to>
    <xdr:sp macro="" textlink="">
      <xdr:nvSpPr>
        <xdr:cNvPr id="28" name="TextBox 12"/>
        <xdr:cNvSpPr txBox="1"/>
      </xdr:nvSpPr>
      <xdr:spPr bwMode="gray">
        <a:xfrm>
          <a:off x="7755648" y="2470056"/>
          <a:ext cx="732034" cy="267114"/>
        </a:xfrm>
        <a:prstGeom prst="rect">
          <a:avLst/>
        </a:prstGeom>
        <a:solidFill>
          <a:schemeClr val="bg1"/>
        </a:solidFill>
      </xdr:spPr>
      <xdr:txBody>
        <a:bodyPr wrap="square" lIns="0" tIns="0" rIns="0" bIns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fontAlgn="auto">
            <a:spcBef>
              <a:spcPts val="0"/>
            </a:spcBef>
            <a:spcAft>
              <a:spcPts val="0"/>
            </a:spcAft>
            <a:defRPr/>
          </a:pPr>
          <a:r>
            <a:rPr lang="en-AU" sz="1000" b="1" kern="0">
              <a:solidFill>
                <a:srgbClr val="665546">
                  <a:lumMod val="95000"/>
                  <a:lumOff val="5000"/>
                </a:srgbClr>
              </a:solidFill>
              <a:ea typeface="ＭＳ Ｐゴシック" pitchFamily="-106" charset="-128"/>
              <a:cs typeface="+mn-cs"/>
            </a:rPr>
            <a:t>Drivers &amp; </a:t>
          </a:r>
        </a:p>
        <a:p>
          <a:pPr algn="ctr" fontAlgn="auto">
            <a:spcBef>
              <a:spcPts val="0"/>
            </a:spcBef>
            <a:spcAft>
              <a:spcPts val="0"/>
            </a:spcAft>
            <a:defRPr/>
          </a:pPr>
          <a:r>
            <a:rPr lang="en-AU" sz="1000" b="1" kern="0">
              <a:solidFill>
                <a:srgbClr val="665546">
                  <a:lumMod val="95000"/>
                  <a:lumOff val="5000"/>
                </a:srgbClr>
              </a:solidFill>
              <a:ea typeface="ＭＳ Ｐゴシック" pitchFamily="-106" charset="-128"/>
              <a:cs typeface="+mn-cs"/>
            </a:rPr>
            <a:t>Objectives</a:t>
          </a:r>
        </a:p>
      </xdr:txBody>
    </xdr:sp>
    <xdr:clientData/>
  </xdr:twoCellAnchor>
  <xdr:twoCellAnchor>
    <xdr:from>
      <xdr:col>8</xdr:col>
      <xdr:colOff>1532471</xdr:colOff>
      <xdr:row>9</xdr:row>
      <xdr:rowOff>136431</xdr:rowOff>
    </xdr:from>
    <xdr:to>
      <xdr:col>11</xdr:col>
      <xdr:colOff>382984</xdr:colOff>
      <xdr:row>10</xdr:row>
      <xdr:rowOff>165420</xdr:rowOff>
    </xdr:to>
    <xdr:sp macro="" textlink="">
      <xdr:nvSpPr>
        <xdr:cNvPr id="29" name="TextBox 43"/>
        <xdr:cNvSpPr txBox="1"/>
      </xdr:nvSpPr>
      <xdr:spPr bwMode="gray">
        <a:xfrm>
          <a:off x="6723596" y="2470056"/>
          <a:ext cx="736463" cy="267114"/>
        </a:xfrm>
        <a:prstGeom prst="rect">
          <a:avLst/>
        </a:prstGeom>
        <a:solidFill>
          <a:schemeClr val="bg1"/>
        </a:solidFill>
      </xdr:spPr>
      <xdr:txBody>
        <a:bodyPr wrap="square" lIns="0" tIns="0" rIns="0" bIns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fontAlgn="auto">
            <a:spcBef>
              <a:spcPts val="0"/>
            </a:spcBef>
            <a:spcAft>
              <a:spcPts val="0"/>
            </a:spcAft>
            <a:defRPr/>
          </a:pPr>
          <a:r>
            <a:rPr lang="en-AU" sz="1000" b="1" kern="0">
              <a:solidFill>
                <a:srgbClr val="665546">
                  <a:lumMod val="95000"/>
                  <a:lumOff val="5000"/>
                </a:srgbClr>
              </a:solidFill>
              <a:ea typeface="ＭＳ Ｐゴシック" pitchFamily="-106" charset="-128"/>
              <a:cs typeface="+mn-cs"/>
            </a:rPr>
            <a:t>Investment Objectives</a:t>
          </a:r>
        </a:p>
      </xdr:txBody>
    </xdr:sp>
    <xdr:clientData/>
  </xdr:twoCellAnchor>
  <xdr:twoCellAnchor>
    <xdr:from>
      <xdr:col>2</xdr:col>
      <xdr:colOff>1175240</xdr:colOff>
      <xdr:row>12</xdr:row>
      <xdr:rowOff>790</xdr:rowOff>
    </xdr:from>
    <xdr:to>
      <xdr:col>2</xdr:col>
      <xdr:colOff>1627436</xdr:colOff>
      <xdr:row>12</xdr:row>
      <xdr:rowOff>790</xdr:rowOff>
    </xdr:to>
    <xdr:cxnSp macro="">
      <xdr:nvCxnSpPr>
        <xdr:cNvPr id="55" name="Straight Connector 54"/>
        <xdr:cNvCxnSpPr>
          <a:stCxn id="35" idx="3"/>
          <a:endCxn id="33" idx="1"/>
        </xdr:cNvCxnSpPr>
      </xdr:nvCxnSpPr>
      <xdr:spPr>
        <a:xfrm>
          <a:off x="2213465" y="2810665"/>
          <a:ext cx="452196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1175240</xdr:colOff>
      <xdr:row>12</xdr:row>
      <xdr:rowOff>790</xdr:rowOff>
    </xdr:from>
    <xdr:to>
      <xdr:col>2</xdr:col>
      <xdr:colOff>1627436</xdr:colOff>
      <xdr:row>14</xdr:row>
      <xdr:rowOff>183942</xdr:rowOff>
    </xdr:to>
    <xdr:cxnSp macro="">
      <xdr:nvCxnSpPr>
        <xdr:cNvPr id="56" name="Straight Connector 55"/>
        <xdr:cNvCxnSpPr>
          <a:stCxn id="50" idx="3"/>
          <a:endCxn id="33" idx="1"/>
        </xdr:cNvCxnSpPr>
      </xdr:nvCxnSpPr>
      <xdr:spPr>
        <a:xfrm flipV="1">
          <a:off x="2213465" y="2810665"/>
          <a:ext cx="452196" cy="659402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1175240</xdr:colOff>
      <xdr:row>14</xdr:row>
      <xdr:rowOff>183943</xdr:rowOff>
    </xdr:from>
    <xdr:to>
      <xdr:col>2</xdr:col>
      <xdr:colOff>1627436</xdr:colOff>
      <xdr:row>14</xdr:row>
      <xdr:rowOff>183943</xdr:rowOff>
    </xdr:to>
    <xdr:cxnSp macro="">
      <xdr:nvCxnSpPr>
        <xdr:cNvPr id="58" name="Straight Connector 57"/>
        <xdr:cNvCxnSpPr>
          <a:stCxn id="50" idx="3"/>
          <a:endCxn id="48" idx="1"/>
        </xdr:cNvCxnSpPr>
      </xdr:nvCxnSpPr>
      <xdr:spPr>
        <a:xfrm>
          <a:off x="2213465" y="3470068"/>
          <a:ext cx="452196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631961</xdr:colOff>
      <xdr:row>12</xdr:row>
      <xdr:rowOff>789</xdr:rowOff>
    </xdr:from>
    <xdr:to>
      <xdr:col>5</xdr:col>
      <xdr:colOff>1039646</xdr:colOff>
      <xdr:row>12</xdr:row>
      <xdr:rowOff>790</xdr:rowOff>
    </xdr:to>
    <xdr:cxnSp macro="">
      <xdr:nvCxnSpPr>
        <xdr:cNvPr id="69" name="Straight Connector 68"/>
        <xdr:cNvCxnSpPr>
          <a:stCxn id="30" idx="1"/>
          <a:endCxn id="33" idx="3"/>
        </xdr:cNvCxnSpPr>
      </xdr:nvCxnSpPr>
      <xdr:spPr>
        <a:xfrm flipH="1">
          <a:off x="3565661" y="2810664"/>
          <a:ext cx="407685" cy="1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631961</xdr:colOff>
      <xdr:row>14</xdr:row>
      <xdr:rowOff>183942</xdr:rowOff>
    </xdr:from>
    <xdr:to>
      <xdr:col>5</xdr:col>
      <xdr:colOff>1039646</xdr:colOff>
      <xdr:row>14</xdr:row>
      <xdr:rowOff>183943</xdr:rowOff>
    </xdr:to>
    <xdr:cxnSp macro="">
      <xdr:nvCxnSpPr>
        <xdr:cNvPr id="70" name="Straight Connector 69"/>
        <xdr:cNvCxnSpPr>
          <a:stCxn id="48" idx="3"/>
          <a:endCxn id="44" idx="1"/>
        </xdr:cNvCxnSpPr>
      </xdr:nvCxnSpPr>
      <xdr:spPr>
        <a:xfrm flipV="1">
          <a:off x="3565661" y="3470067"/>
          <a:ext cx="407685" cy="1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631961</xdr:colOff>
      <xdr:row>12</xdr:row>
      <xdr:rowOff>790</xdr:rowOff>
    </xdr:from>
    <xdr:to>
      <xdr:col>5</xdr:col>
      <xdr:colOff>1039646</xdr:colOff>
      <xdr:row>14</xdr:row>
      <xdr:rowOff>183943</xdr:rowOff>
    </xdr:to>
    <xdr:cxnSp macro="">
      <xdr:nvCxnSpPr>
        <xdr:cNvPr id="75" name="Straight Connector 74"/>
        <xdr:cNvCxnSpPr>
          <a:stCxn id="48" idx="3"/>
          <a:endCxn id="30" idx="1"/>
        </xdr:cNvCxnSpPr>
      </xdr:nvCxnSpPr>
      <xdr:spPr>
        <a:xfrm flipV="1">
          <a:off x="3565661" y="2810665"/>
          <a:ext cx="407685" cy="659403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631961</xdr:colOff>
      <xdr:row>12</xdr:row>
      <xdr:rowOff>790</xdr:rowOff>
    </xdr:from>
    <xdr:to>
      <xdr:col>5</xdr:col>
      <xdr:colOff>1039646</xdr:colOff>
      <xdr:row>14</xdr:row>
      <xdr:rowOff>183941</xdr:rowOff>
    </xdr:to>
    <xdr:cxnSp macro="">
      <xdr:nvCxnSpPr>
        <xdr:cNvPr id="78" name="Straight Connector 77"/>
        <xdr:cNvCxnSpPr>
          <a:stCxn id="33" idx="3"/>
          <a:endCxn id="44" idx="1"/>
        </xdr:cNvCxnSpPr>
      </xdr:nvCxnSpPr>
      <xdr:spPr>
        <a:xfrm>
          <a:off x="3565661" y="2810665"/>
          <a:ext cx="407685" cy="659401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1939646</xdr:colOff>
      <xdr:row>12</xdr:row>
      <xdr:rowOff>789</xdr:rowOff>
    </xdr:from>
    <xdr:to>
      <xdr:col>8</xdr:col>
      <xdr:colOff>160288</xdr:colOff>
      <xdr:row>14</xdr:row>
      <xdr:rowOff>183941</xdr:rowOff>
    </xdr:to>
    <xdr:cxnSp macro="">
      <xdr:nvCxnSpPr>
        <xdr:cNvPr id="81" name="Straight Connector 80"/>
        <xdr:cNvCxnSpPr>
          <a:stCxn id="44" idx="3"/>
          <a:endCxn id="34" idx="1"/>
        </xdr:cNvCxnSpPr>
      </xdr:nvCxnSpPr>
      <xdr:spPr>
        <a:xfrm flipV="1">
          <a:off x="4873346" y="2810664"/>
          <a:ext cx="478067" cy="659402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1939646</xdr:colOff>
      <xdr:row>14</xdr:row>
      <xdr:rowOff>183942</xdr:rowOff>
    </xdr:from>
    <xdr:to>
      <xdr:col>8</xdr:col>
      <xdr:colOff>150763</xdr:colOff>
      <xdr:row>14</xdr:row>
      <xdr:rowOff>183943</xdr:rowOff>
    </xdr:to>
    <xdr:cxnSp macro="">
      <xdr:nvCxnSpPr>
        <xdr:cNvPr id="84" name="Straight Connector 83"/>
        <xdr:cNvCxnSpPr>
          <a:stCxn id="44" idx="3"/>
          <a:endCxn id="41" idx="1"/>
        </xdr:cNvCxnSpPr>
      </xdr:nvCxnSpPr>
      <xdr:spPr>
        <a:xfrm>
          <a:off x="4873346" y="3470067"/>
          <a:ext cx="468542" cy="1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1939646</xdr:colOff>
      <xdr:row>12</xdr:row>
      <xdr:rowOff>789</xdr:rowOff>
    </xdr:from>
    <xdr:to>
      <xdr:col>8</xdr:col>
      <xdr:colOff>160288</xdr:colOff>
      <xdr:row>12</xdr:row>
      <xdr:rowOff>789</xdr:rowOff>
    </xdr:to>
    <xdr:cxnSp macro="">
      <xdr:nvCxnSpPr>
        <xdr:cNvPr id="87" name="Straight Connector 86"/>
        <xdr:cNvCxnSpPr>
          <a:stCxn id="30" idx="3"/>
          <a:endCxn id="34" idx="1"/>
        </xdr:cNvCxnSpPr>
      </xdr:nvCxnSpPr>
      <xdr:spPr>
        <a:xfrm>
          <a:off x="4873346" y="2810664"/>
          <a:ext cx="478067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1060288</xdr:colOff>
      <xdr:row>12</xdr:row>
      <xdr:rowOff>789</xdr:rowOff>
    </xdr:from>
    <xdr:to>
      <xdr:col>8</xdr:col>
      <xdr:colOff>1471273</xdr:colOff>
      <xdr:row>13</xdr:row>
      <xdr:rowOff>38889</xdr:rowOff>
    </xdr:to>
    <xdr:cxnSp macro="">
      <xdr:nvCxnSpPr>
        <xdr:cNvPr id="90" name="Straight Connector 89"/>
        <xdr:cNvCxnSpPr>
          <a:stCxn id="34" idx="3"/>
          <a:endCxn id="31" idx="1"/>
        </xdr:cNvCxnSpPr>
      </xdr:nvCxnSpPr>
      <xdr:spPr>
        <a:xfrm>
          <a:off x="6251413" y="2810664"/>
          <a:ext cx="410985" cy="27622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1050763</xdr:colOff>
      <xdr:row>13</xdr:row>
      <xdr:rowOff>38889</xdr:rowOff>
    </xdr:from>
    <xdr:to>
      <xdr:col>8</xdr:col>
      <xdr:colOff>1471273</xdr:colOff>
      <xdr:row>14</xdr:row>
      <xdr:rowOff>183942</xdr:rowOff>
    </xdr:to>
    <xdr:cxnSp macro="">
      <xdr:nvCxnSpPr>
        <xdr:cNvPr id="93" name="Straight Connector 92"/>
        <xdr:cNvCxnSpPr>
          <a:stCxn id="41" idx="3"/>
          <a:endCxn id="31" idx="1"/>
        </xdr:cNvCxnSpPr>
      </xdr:nvCxnSpPr>
      <xdr:spPr>
        <a:xfrm flipV="1">
          <a:off x="6241888" y="3086889"/>
          <a:ext cx="420510" cy="383178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485323</xdr:colOff>
      <xdr:row>13</xdr:row>
      <xdr:rowOff>38889</xdr:rowOff>
    </xdr:from>
    <xdr:to>
      <xdr:col>11</xdr:col>
      <xdr:colOff>733615</xdr:colOff>
      <xdr:row>13</xdr:row>
      <xdr:rowOff>39192</xdr:rowOff>
    </xdr:to>
    <xdr:cxnSp macro="">
      <xdr:nvCxnSpPr>
        <xdr:cNvPr id="96" name="Straight Connector 95"/>
        <xdr:cNvCxnSpPr>
          <a:stCxn id="32" idx="1"/>
          <a:endCxn id="31" idx="3"/>
        </xdr:cNvCxnSpPr>
      </xdr:nvCxnSpPr>
      <xdr:spPr>
        <a:xfrm flipH="1" flipV="1">
          <a:off x="7562398" y="3086889"/>
          <a:ext cx="248292" cy="303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838201</xdr:colOff>
      <xdr:row>26</xdr:row>
      <xdr:rowOff>133351</xdr:rowOff>
    </xdr:from>
    <xdr:to>
      <xdr:col>3</xdr:col>
      <xdr:colOff>43393</xdr:colOff>
      <xdr:row>31</xdr:row>
      <xdr:rowOff>41276</xdr:rowOff>
    </xdr:to>
    <xdr:sp macro="" textlink="">
      <xdr:nvSpPr>
        <xdr:cNvPr id="99" name="Rectangle 98"/>
        <xdr:cNvSpPr/>
      </xdr:nvSpPr>
      <xdr:spPr>
        <a:xfrm>
          <a:off x="1009651" y="6200776"/>
          <a:ext cx="1738842" cy="984250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990600</xdr:colOff>
      <xdr:row>19</xdr:row>
      <xdr:rowOff>76200</xdr:rowOff>
    </xdr:from>
    <xdr:to>
      <xdr:col>3</xdr:col>
      <xdr:colOff>38100</xdr:colOff>
      <xdr:row>22</xdr:row>
      <xdr:rowOff>66675</xdr:rowOff>
    </xdr:to>
    <xdr:sp macro="" textlink="">
      <xdr:nvSpPr>
        <xdr:cNvPr id="3" name="Rectangle 2"/>
        <xdr:cNvSpPr/>
      </xdr:nvSpPr>
      <xdr:spPr>
        <a:xfrm>
          <a:off x="1162050" y="4419600"/>
          <a:ext cx="1476375" cy="685800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990600</xdr:colOff>
      <xdr:row>19</xdr:row>
      <xdr:rowOff>76200</xdr:rowOff>
    </xdr:from>
    <xdr:to>
      <xdr:col>3</xdr:col>
      <xdr:colOff>38100</xdr:colOff>
      <xdr:row>22</xdr:row>
      <xdr:rowOff>66675</xdr:rowOff>
    </xdr:to>
    <xdr:sp macro="" textlink="">
      <xdr:nvSpPr>
        <xdr:cNvPr id="4" name="Rectangle 3"/>
        <xdr:cNvSpPr/>
      </xdr:nvSpPr>
      <xdr:spPr>
        <a:xfrm>
          <a:off x="1162050" y="4419600"/>
          <a:ext cx="1476375" cy="685800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</xdr:col>
      <xdr:colOff>990600</xdr:colOff>
      <xdr:row>19</xdr:row>
      <xdr:rowOff>76200</xdr:rowOff>
    </xdr:from>
    <xdr:to>
      <xdr:col>3</xdr:col>
      <xdr:colOff>38100</xdr:colOff>
      <xdr:row>22</xdr:row>
      <xdr:rowOff>66675</xdr:rowOff>
    </xdr:to>
    <xdr:sp macro="" textlink="">
      <xdr:nvSpPr>
        <xdr:cNvPr id="5" name="Rectangle 4"/>
        <xdr:cNvSpPr/>
      </xdr:nvSpPr>
      <xdr:spPr>
        <a:xfrm>
          <a:off x="1162050" y="4419600"/>
          <a:ext cx="1476375" cy="685800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</xdr:col>
      <xdr:colOff>990600</xdr:colOff>
      <xdr:row>19</xdr:row>
      <xdr:rowOff>76200</xdr:rowOff>
    </xdr:from>
    <xdr:to>
      <xdr:col>3</xdr:col>
      <xdr:colOff>38100</xdr:colOff>
      <xdr:row>22</xdr:row>
      <xdr:rowOff>66675</xdr:rowOff>
    </xdr:to>
    <xdr:sp macro="" textlink="">
      <xdr:nvSpPr>
        <xdr:cNvPr id="6" name="Rectangle 5"/>
        <xdr:cNvSpPr/>
      </xdr:nvSpPr>
      <xdr:spPr>
        <a:xfrm>
          <a:off x="1162050" y="4419600"/>
          <a:ext cx="1438275" cy="685800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8</xdr:row>
      <xdr:rowOff>76200</xdr:rowOff>
    </xdr:from>
    <xdr:to>
      <xdr:col>2</xdr:col>
      <xdr:colOff>38100</xdr:colOff>
      <xdr:row>12</xdr:row>
      <xdr:rowOff>68036</xdr:rowOff>
    </xdr:to>
    <xdr:sp macro="" textlink="">
      <xdr:nvSpPr>
        <xdr:cNvPr id="6" name="Rectangle 5"/>
        <xdr:cNvSpPr/>
      </xdr:nvSpPr>
      <xdr:spPr>
        <a:xfrm>
          <a:off x="133350" y="1967593"/>
          <a:ext cx="1129393" cy="998764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84665</xdr:colOff>
      <xdr:row>3</xdr:row>
      <xdr:rowOff>0</xdr:rowOff>
    </xdr:from>
    <xdr:to>
      <xdr:col>2</xdr:col>
      <xdr:colOff>392440</xdr:colOff>
      <xdr:row>3</xdr:row>
      <xdr:rowOff>0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4212" t="35206" r="39438" b="37475"/>
        <a:stretch/>
      </xdr:blipFill>
      <xdr:spPr>
        <a:xfrm>
          <a:off x="84665" y="237066"/>
          <a:ext cx="927766" cy="578275"/>
        </a:xfrm>
        <a:prstGeom prst="rect">
          <a:avLst/>
        </a:prstGeom>
      </xdr:spPr>
    </xdr:pic>
    <xdr:clientData/>
  </xdr:twoCellAnchor>
  <xdr:twoCellAnchor editAs="oneCell">
    <xdr:from>
      <xdr:col>0</xdr:col>
      <xdr:colOff>84665</xdr:colOff>
      <xdr:row>0</xdr:row>
      <xdr:rowOff>84666</xdr:rowOff>
    </xdr:from>
    <xdr:to>
      <xdr:col>2</xdr:col>
      <xdr:colOff>392440</xdr:colOff>
      <xdr:row>0</xdr:row>
      <xdr:rowOff>84666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4212" t="35206" r="39438" b="37475"/>
        <a:stretch/>
      </xdr:blipFill>
      <xdr:spPr>
        <a:xfrm>
          <a:off x="84665" y="237066"/>
          <a:ext cx="927766" cy="5782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62</xdr:row>
      <xdr:rowOff>0</xdr:rowOff>
    </xdr:from>
    <xdr:to>
      <xdr:col>12</xdr:col>
      <xdr:colOff>180975</xdr:colOff>
      <xdr:row>75</xdr:row>
      <xdr:rowOff>0</xdr:rowOff>
    </xdr:to>
    <xdr:graphicFrame macro="">
      <xdr:nvGraphicFramePr>
        <xdr:cNvPr id="3" name="Diagram 2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84665</xdr:colOff>
      <xdr:row>3</xdr:row>
      <xdr:rowOff>0</xdr:rowOff>
    </xdr:from>
    <xdr:to>
      <xdr:col>2</xdr:col>
      <xdr:colOff>2781</xdr:colOff>
      <xdr:row>3</xdr:row>
      <xdr:rowOff>0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4212" t="35206" r="39438" b="37475"/>
        <a:stretch/>
      </xdr:blipFill>
      <xdr:spPr>
        <a:xfrm>
          <a:off x="84665" y="838200"/>
          <a:ext cx="851566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84665</xdr:colOff>
      <xdr:row>0</xdr:row>
      <xdr:rowOff>84666</xdr:rowOff>
    </xdr:from>
    <xdr:to>
      <xdr:col>2</xdr:col>
      <xdr:colOff>2781</xdr:colOff>
      <xdr:row>0</xdr:row>
      <xdr:rowOff>84666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4212" t="35206" r="39438" b="37475"/>
        <a:stretch/>
      </xdr:blipFill>
      <xdr:spPr>
        <a:xfrm>
          <a:off x="84665" y="84666"/>
          <a:ext cx="851566" cy="0"/>
        </a:xfrm>
        <a:prstGeom prst="rect">
          <a:avLst/>
        </a:prstGeom>
      </xdr:spPr>
    </xdr:pic>
    <xdr:clientData/>
  </xdr:twoCellAnchor>
  <xdr:twoCellAnchor>
    <xdr:from>
      <xdr:col>12</xdr:col>
      <xdr:colOff>224118</xdr:colOff>
      <xdr:row>35</xdr:row>
      <xdr:rowOff>4176</xdr:rowOff>
    </xdr:from>
    <xdr:to>
      <xdr:col>16</xdr:col>
      <xdr:colOff>194664</xdr:colOff>
      <xdr:row>47</xdr:row>
      <xdr:rowOff>130176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224118</xdr:colOff>
      <xdr:row>50</xdr:row>
      <xdr:rowOff>35756</xdr:rowOff>
    </xdr:from>
    <xdr:to>
      <xdr:col>16</xdr:col>
      <xdr:colOff>194664</xdr:colOff>
      <xdr:row>62</xdr:row>
      <xdr:rowOff>161756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496114</xdr:colOff>
      <xdr:row>35</xdr:row>
      <xdr:rowOff>4176</xdr:rowOff>
    </xdr:from>
    <xdr:to>
      <xdr:col>11</xdr:col>
      <xdr:colOff>466660</xdr:colOff>
      <xdr:row>47</xdr:row>
      <xdr:rowOff>130176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465553</xdr:colOff>
      <xdr:row>19</xdr:row>
      <xdr:rowOff>119800</xdr:rowOff>
    </xdr:from>
    <xdr:to>
      <xdr:col>11</xdr:col>
      <xdr:colOff>436099</xdr:colOff>
      <xdr:row>32</xdr:row>
      <xdr:rowOff>55300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51955</xdr:colOff>
      <xdr:row>19</xdr:row>
      <xdr:rowOff>119800</xdr:rowOff>
    </xdr:from>
    <xdr:to>
      <xdr:col>7</xdr:col>
      <xdr:colOff>22500</xdr:colOff>
      <xdr:row>32</xdr:row>
      <xdr:rowOff>55300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466660</xdr:colOff>
      <xdr:row>41</xdr:row>
      <xdr:rowOff>67176</xdr:rowOff>
    </xdr:from>
    <xdr:to>
      <xdr:col>12</xdr:col>
      <xdr:colOff>224118</xdr:colOff>
      <xdr:row>41</xdr:row>
      <xdr:rowOff>67176</xdr:rowOff>
    </xdr:to>
    <xdr:cxnSp macro="">
      <xdr:nvCxnSpPr>
        <xdr:cNvPr id="11" name="Straight Connector 10"/>
        <xdr:cNvCxnSpPr>
          <a:stCxn id="7" idx="3"/>
          <a:endCxn id="5" idx="1"/>
        </xdr:cNvCxnSpPr>
      </xdr:nvCxnSpPr>
      <xdr:spPr>
        <a:xfrm>
          <a:off x="8490072" y="8146617"/>
          <a:ext cx="485840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717177</xdr:colOff>
      <xdr:row>41</xdr:row>
      <xdr:rowOff>89646</xdr:rowOff>
    </xdr:from>
    <xdr:to>
      <xdr:col>12</xdr:col>
      <xdr:colOff>224119</xdr:colOff>
      <xdr:row>56</xdr:row>
      <xdr:rowOff>98755</xdr:rowOff>
    </xdr:to>
    <xdr:cxnSp macro="">
      <xdr:nvCxnSpPr>
        <xdr:cNvPr id="15" name="Elbow Connector 14"/>
        <xdr:cNvCxnSpPr>
          <a:endCxn id="6" idx="1"/>
        </xdr:cNvCxnSpPr>
      </xdr:nvCxnSpPr>
      <xdr:spPr>
        <a:xfrm rot="16200000" flipH="1">
          <a:off x="7424946" y="9484730"/>
          <a:ext cx="2866609" cy="235324"/>
        </a:xfrm>
        <a:prstGeom prst="bentConnector2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22500</xdr:colOff>
      <xdr:row>25</xdr:row>
      <xdr:rowOff>182800</xdr:rowOff>
    </xdr:from>
    <xdr:to>
      <xdr:col>7</xdr:col>
      <xdr:colOff>465553</xdr:colOff>
      <xdr:row>25</xdr:row>
      <xdr:rowOff>182800</xdr:rowOff>
    </xdr:to>
    <xdr:cxnSp macro="">
      <xdr:nvCxnSpPr>
        <xdr:cNvPr id="16" name="Straight Connector 15"/>
        <xdr:cNvCxnSpPr>
          <a:stCxn id="9" idx="3"/>
          <a:endCxn id="8" idx="1"/>
        </xdr:cNvCxnSpPr>
      </xdr:nvCxnSpPr>
      <xdr:spPr>
        <a:xfrm>
          <a:off x="5132382" y="5214241"/>
          <a:ext cx="443053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264460</xdr:colOff>
      <xdr:row>25</xdr:row>
      <xdr:rowOff>163604</xdr:rowOff>
    </xdr:from>
    <xdr:to>
      <xdr:col>7</xdr:col>
      <xdr:colOff>499784</xdr:colOff>
      <xdr:row>40</xdr:row>
      <xdr:rowOff>172713</xdr:rowOff>
    </xdr:to>
    <xdr:cxnSp macro="">
      <xdr:nvCxnSpPr>
        <xdr:cNvPr id="19" name="Elbow Connector 18"/>
        <xdr:cNvCxnSpPr/>
      </xdr:nvCxnSpPr>
      <xdr:spPr>
        <a:xfrm rot="16200000" flipH="1">
          <a:off x="4058699" y="6510688"/>
          <a:ext cx="2866609" cy="235324"/>
        </a:xfrm>
        <a:prstGeom prst="bentConnector2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125302</xdr:colOff>
      <xdr:row>23</xdr:row>
      <xdr:rowOff>55011</xdr:rowOff>
    </xdr:from>
    <xdr:to>
      <xdr:col>14</xdr:col>
      <xdr:colOff>435429</xdr:colOff>
      <xdr:row>27</xdr:row>
      <xdr:rowOff>318</xdr:rowOff>
    </xdr:to>
    <xdr:pic>
      <xdr:nvPicPr>
        <xdr:cNvPr id="20" name="Picture 19"/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l="23672" t="35765" r="67733" b="54905"/>
        <a:stretch/>
      </xdr:blipFill>
      <xdr:spPr>
        <a:xfrm>
          <a:off x="10044909" y="4722261"/>
          <a:ext cx="1085734" cy="70730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-nc-sa/4.0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7.bin"/><Relationship Id="rId4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1"/>
  </sheetPr>
  <dimension ref="A1:H42"/>
  <sheetViews>
    <sheetView showGridLines="0" tabSelected="1" zoomScaleNormal="100" workbookViewId="0">
      <selection activeCell="D16" sqref="D16"/>
    </sheetView>
  </sheetViews>
  <sheetFormatPr defaultColWidth="0" defaultRowHeight="0" customHeight="1" zeroHeight="1"/>
  <cols>
    <col min="1" max="1" width="2.5703125" style="3" customWidth="1"/>
    <col min="2" max="2" width="13.140625" style="3" bestFit="1" customWidth="1"/>
    <col min="3" max="3" width="15.7109375" style="3" customWidth="1"/>
    <col min="4" max="4" width="70.85546875" style="3" customWidth="1"/>
    <col min="5" max="5" width="9.140625" style="3" customWidth="1"/>
    <col min="6" max="8" width="0" style="3" hidden="1" customWidth="1"/>
    <col min="9" max="16384" width="9.140625" style="3" hidden="1"/>
  </cols>
  <sheetData>
    <row r="1" spans="2:7" ht="12"/>
    <row r="2" spans="2:7" ht="26.25">
      <c r="B2" s="7" t="s">
        <v>159</v>
      </c>
    </row>
    <row r="3" spans="2:7" ht="21">
      <c r="B3" s="8" t="s">
        <v>158</v>
      </c>
    </row>
    <row r="4" spans="2:7" ht="18.75">
      <c r="B4" s="9" t="s">
        <v>157</v>
      </c>
    </row>
    <row r="5" spans="2:7" s="1" customFormat="1" ht="15">
      <c r="B5" s="3"/>
      <c r="G5" s="2"/>
    </row>
    <row r="6" spans="2:7" ht="12"/>
    <row r="7" spans="2:7" ht="12"/>
    <row r="8" spans="2:7" ht="12"/>
    <row r="9" spans="2:7" ht="15">
      <c r="B9" s="154" t="s">
        <v>156</v>
      </c>
    </row>
    <row r="10" spans="2:7" ht="12"/>
    <row r="11" spans="2:7" ht="12"/>
    <row r="12" spans="2:7" ht="12"/>
    <row r="13" spans="2:7" ht="12"/>
    <row r="14" spans="2:7" ht="12"/>
    <row r="15" spans="2:7" ht="12"/>
    <row r="16" spans="2:7" ht="12"/>
    <row r="17" ht="12"/>
    <row r="18" ht="12"/>
    <row r="19" ht="12"/>
    <row r="20" ht="12"/>
    <row r="21" ht="12"/>
    <row r="22" ht="12"/>
    <row r="23" ht="12"/>
    <row r="24" ht="12"/>
    <row r="25" ht="12"/>
    <row r="26" ht="12"/>
    <row r="27" ht="12"/>
    <row r="28" ht="12"/>
    <row r="29" ht="12"/>
    <row r="30" ht="12"/>
    <row r="31" ht="12"/>
    <row r="32" ht="12"/>
    <row r="33" ht="12"/>
    <row r="34" ht="12"/>
    <row r="35" ht="12"/>
    <row r="36" ht="12"/>
    <row r="37" ht="12"/>
    <row r="38" ht="12" customHeight="1"/>
    <row r="39" ht="12" customHeight="1"/>
    <row r="40" ht="12" customHeight="1"/>
    <row r="41" ht="12" customHeight="1"/>
    <row r="42" ht="12" customHeight="1"/>
  </sheetData>
  <sheetProtection selectLockedCells="1"/>
  <hyperlinks>
    <hyperlink ref="B9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5"/>
  </sheetPr>
  <dimension ref="A1:W65"/>
  <sheetViews>
    <sheetView showGridLines="0" topLeftCell="A10" zoomScaleNormal="100" workbookViewId="0">
      <selection activeCell="C37" sqref="C37"/>
    </sheetView>
  </sheetViews>
  <sheetFormatPr defaultColWidth="0" defaultRowHeight="0" customHeight="1" zeroHeight="1" outlineLevelCol="3"/>
  <cols>
    <col min="1" max="1" width="2.5703125" style="3" customWidth="1"/>
    <col min="2" max="2" width="13" style="3" customWidth="1"/>
    <col min="3" max="3" width="25" style="3" customWidth="1"/>
    <col min="4" max="5" width="1.7109375" style="3" customWidth="1" outlineLevel="1"/>
    <col min="6" max="6" width="30.42578125" style="3" customWidth="1" outlineLevel="1"/>
    <col min="7" max="8" width="1.7109375" style="3" customWidth="1" outlineLevel="2"/>
    <col min="9" max="9" width="24.85546875" style="3" customWidth="1" outlineLevel="2"/>
    <col min="10" max="11" width="1.7109375" style="3" customWidth="1" outlineLevel="3"/>
    <col min="12" max="12" width="20.7109375" style="3" customWidth="1" outlineLevel="3"/>
    <col min="13" max="14" width="1.7109375" style="3" customWidth="1" outlineLevel="3"/>
    <col min="15" max="15" width="20.7109375" style="3" customWidth="1" outlineLevel="3"/>
    <col min="16" max="16" width="2.7109375" style="3" customWidth="1" outlineLevel="2"/>
    <col min="17" max="17" width="2.7109375" style="3" hidden="1" customWidth="1" outlineLevel="1"/>
    <col min="18" max="18" width="20.140625" style="3" hidden="1" customWidth="1" outlineLevel="1"/>
    <col min="19" max="20" width="2.7109375" style="3" hidden="1" customWidth="1"/>
    <col min="21" max="21" width="20.42578125" style="3" hidden="1" customWidth="1"/>
    <col min="22" max="23" width="2.7109375" style="3" hidden="1" customWidth="1"/>
    <col min="24" max="16384" width="9.140625" style="3" hidden="1"/>
  </cols>
  <sheetData>
    <row r="1" spans="2:15" ht="12"/>
    <row r="2" spans="2:15" ht="26.25">
      <c r="C2" s="7" t="str">
        <f>Copyright!B2</f>
        <v>Value Driver Modelling</v>
      </c>
    </row>
    <row r="3" spans="2:15" ht="21">
      <c r="C3" s="8" t="str">
        <f>Copyright!B3</f>
        <v>Example Value Driver Trees</v>
      </c>
    </row>
    <row r="4" spans="2:15" ht="18.75">
      <c r="C4" s="9" t="s">
        <v>160</v>
      </c>
    </row>
    <row r="5" spans="2:15" ht="18.75">
      <c r="C5" s="9"/>
    </row>
    <row r="6" spans="2:15" ht="12">
      <c r="B6" s="53" t="s">
        <v>97</v>
      </c>
      <c r="C6" s="53"/>
      <c r="D6" s="53"/>
      <c r="E6" s="53"/>
      <c r="F6" s="53"/>
      <c r="G6" s="53"/>
      <c r="H6" s="54"/>
      <c r="I6" s="54"/>
      <c r="J6" s="54"/>
      <c r="K6" s="54"/>
      <c r="L6" s="54"/>
      <c r="M6" s="54"/>
      <c r="N6" s="54"/>
      <c r="O6" s="54"/>
    </row>
    <row r="7" spans="2:15" ht="18.75">
      <c r="C7" s="9"/>
    </row>
    <row r="8" spans="2:15" ht="18.75">
      <c r="C8" s="9"/>
    </row>
    <row r="9" spans="2:15" ht="18.75">
      <c r="C9" s="9"/>
    </row>
    <row r="10" spans="2:15" ht="18.75">
      <c r="C10" s="9"/>
    </row>
    <row r="11" spans="2:15" ht="18.75">
      <c r="C11" s="9"/>
    </row>
    <row r="12" spans="2:15" ht="18.75">
      <c r="C12" s="9"/>
    </row>
    <row r="13" spans="2:15" ht="18.75">
      <c r="C13" s="9"/>
    </row>
    <row r="14" spans="2:15" ht="18.75">
      <c r="C14" s="9"/>
    </row>
    <row r="15" spans="2:15" ht="18.75">
      <c r="C15" s="9"/>
    </row>
    <row r="16" spans="2:15" ht="18.75">
      <c r="C16" s="9"/>
    </row>
    <row r="17" spans="2:15" ht="18.75">
      <c r="C17" s="9"/>
    </row>
    <row r="18" spans="2:15" ht="18.75">
      <c r="C18" s="9"/>
    </row>
    <row r="19" spans="2:15" ht="18.75">
      <c r="C19" s="9"/>
    </row>
    <row r="20" spans="2:15" ht="18.75">
      <c r="C20" s="9"/>
    </row>
    <row r="21" spans="2:15" ht="12">
      <c r="B21" s="53" t="s">
        <v>96</v>
      </c>
      <c r="C21" s="53"/>
      <c r="D21" s="53"/>
      <c r="E21" s="53"/>
      <c r="F21" s="53"/>
      <c r="G21" s="53"/>
      <c r="H21" s="54"/>
      <c r="I21" s="54"/>
      <c r="J21" s="54"/>
      <c r="K21" s="54"/>
      <c r="L21" s="54"/>
      <c r="M21" s="54"/>
      <c r="N21" s="54"/>
      <c r="O21" s="54"/>
    </row>
    <row r="22" spans="2:15" ht="15" customHeight="1" thickBot="1">
      <c r="B22" s="4"/>
      <c r="C22" s="5"/>
      <c r="D22" s="4"/>
      <c r="E22" s="6"/>
      <c r="F22" s="4"/>
      <c r="G22" s="6"/>
    </row>
    <row r="23" spans="2:15" ht="24.95" customHeight="1" thickTop="1" thickBot="1">
      <c r="C23" s="58" t="s">
        <v>83</v>
      </c>
      <c r="D23" s="56"/>
      <c r="E23" s="57"/>
      <c r="F23" s="58" t="s">
        <v>84</v>
      </c>
      <c r="G23" s="59"/>
      <c r="H23" s="60"/>
      <c r="I23" s="58" t="s">
        <v>88</v>
      </c>
      <c r="J23" s="61"/>
      <c r="K23" s="61"/>
      <c r="L23" s="61"/>
      <c r="M23" s="62"/>
      <c r="N23" s="62"/>
      <c r="O23" s="62"/>
    </row>
    <row r="24" spans="2:15" ht="15" customHeight="1" thickTop="1" thickBot="1">
      <c r="C24" s="120">
        <f>PRODUCT(F24,F45)</f>
        <v>1875000</v>
      </c>
      <c r="D24" s="63"/>
      <c r="E24" s="61"/>
      <c r="F24" s="64">
        <f>PRODUCT(I24,I27,I30)</f>
        <v>1250</v>
      </c>
      <c r="G24" s="65"/>
      <c r="H24" s="61"/>
      <c r="I24" s="116">
        <v>50</v>
      </c>
      <c r="J24" s="61"/>
      <c r="K24" s="61"/>
      <c r="L24" s="61"/>
      <c r="M24" s="62"/>
      <c r="N24" s="62"/>
      <c r="O24" s="62"/>
    </row>
    <row r="25" spans="2:15" ht="15" customHeight="1" thickTop="1" thickBot="1">
      <c r="C25" s="66"/>
      <c r="D25" s="155" t="s">
        <v>58</v>
      </c>
      <c r="E25" s="155"/>
      <c r="F25" s="66"/>
      <c r="G25" s="155" t="s">
        <v>58</v>
      </c>
      <c r="H25" s="155"/>
      <c r="I25" s="68"/>
      <c r="J25" s="62"/>
      <c r="K25" s="62"/>
      <c r="L25" s="62"/>
      <c r="M25" s="62"/>
      <c r="N25" s="62"/>
      <c r="O25" s="62"/>
    </row>
    <row r="26" spans="2:15" ht="24.95" customHeight="1" thickTop="1" thickBot="1">
      <c r="C26" s="69"/>
      <c r="D26" s="70"/>
      <c r="E26" s="62"/>
      <c r="F26" s="69"/>
      <c r="G26" s="67"/>
      <c r="H26" s="71"/>
      <c r="I26" s="58" t="s">
        <v>89</v>
      </c>
      <c r="J26" s="62"/>
      <c r="K26" s="62"/>
      <c r="L26" s="62"/>
      <c r="M26" s="62"/>
      <c r="N26" s="62"/>
      <c r="O26" s="62"/>
    </row>
    <row r="27" spans="2:15" ht="15" customHeight="1" thickTop="1" thickBot="1">
      <c r="C27" s="62"/>
      <c r="D27" s="67"/>
      <c r="E27" s="62"/>
      <c r="F27" s="62"/>
      <c r="G27" s="67"/>
      <c r="H27" s="61"/>
      <c r="I27" s="116">
        <v>200</v>
      </c>
      <c r="J27" s="62"/>
      <c r="K27" s="62"/>
      <c r="L27" s="62"/>
      <c r="M27" s="62"/>
      <c r="N27" s="62"/>
      <c r="O27" s="62"/>
    </row>
    <row r="28" spans="2:15" ht="15" customHeight="1" thickTop="1" thickBot="1">
      <c r="C28" s="44" t="s">
        <v>56</v>
      </c>
      <c r="D28" s="67"/>
      <c r="E28" s="62"/>
      <c r="F28" s="66"/>
      <c r="G28" s="155" t="s">
        <v>58</v>
      </c>
      <c r="H28" s="155"/>
      <c r="I28" s="68"/>
      <c r="J28" s="62"/>
      <c r="K28" s="62"/>
      <c r="L28" s="62"/>
      <c r="M28" s="62"/>
      <c r="N28" s="62"/>
      <c r="O28" s="62"/>
    </row>
    <row r="29" spans="2:15" ht="24.95" customHeight="1" thickTop="1" thickBot="1">
      <c r="C29" s="122" t="s">
        <v>98</v>
      </c>
      <c r="D29" s="67"/>
      <c r="E29" s="62"/>
      <c r="F29" s="69"/>
      <c r="G29" s="67"/>
      <c r="H29" s="71"/>
      <c r="I29" s="58" t="s">
        <v>90</v>
      </c>
      <c r="J29" s="62"/>
      <c r="K29" s="62"/>
      <c r="L29" s="62"/>
      <c r="M29" s="62"/>
      <c r="N29" s="62"/>
      <c r="O29" s="62"/>
    </row>
    <row r="30" spans="2:15" ht="15" customHeight="1" thickTop="1" thickBot="1">
      <c r="C30" s="123" t="s">
        <v>99</v>
      </c>
      <c r="D30" s="67"/>
      <c r="E30" s="62"/>
      <c r="F30" s="62"/>
      <c r="G30" s="62"/>
      <c r="H30" s="72"/>
      <c r="I30" s="115">
        <f>L33*L42</f>
        <v>0.125</v>
      </c>
      <c r="J30" s="65"/>
      <c r="K30" s="62"/>
      <c r="L30" s="62"/>
      <c r="M30" s="62"/>
      <c r="N30" s="62"/>
      <c r="O30" s="62"/>
    </row>
    <row r="31" spans="2:15" ht="15" customHeight="1" thickTop="1" thickBot="1">
      <c r="C31" s="124" t="s">
        <v>100</v>
      </c>
      <c r="D31" s="67"/>
      <c r="E31" s="62"/>
      <c r="F31" s="66"/>
      <c r="J31" s="67"/>
      <c r="K31" s="62"/>
      <c r="L31" s="68"/>
      <c r="M31" s="62"/>
      <c r="N31" s="62"/>
      <c r="O31" s="62"/>
    </row>
    <row r="32" spans="2:15" ht="24.95" customHeight="1" thickTop="1" thickBot="1">
      <c r="C32" s="69"/>
      <c r="D32" s="67"/>
      <c r="E32" s="62"/>
      <c r="F32" s="69"/>
      <c r="J32" s="67"/>
      <c r="K32" s="71"/>
      <c r="L32" s="58" t="s">
        <v>91</v>
      </c>
      <c r="M32" s="62"/>
      <c r="N32" s="62"/>
      <c r="O32" s="62"/>
    </row>
    <row r="33" spans="3:15" ht="15" customHeight="1" thickTop="1" thickBot="1">
      <c r="C33" s="62"/>
      <c r="D33" s="67"/>
      <c r="E33" s="62"/>
      <c r="F33" s="62"/>
      <c r="J33" s="67"/>
      <c r="K33" s="61"/>
      <c r="L33" s="115">
        <f>O36-O39</f>
        <v>0.5</v>
      </c>
      <c r="M33" s="65"/>
      <c r="N33" s="62"/>
      <c r="O33" s="62"/>
    </row>
    <row r="34" spans="3:15" ht="15" customHeight="1" thickTop="1" thickBot="1">
      <c r="C34" s="66"/>
      <c r="D34" s="67"/>
      <c r="E34" s="62"/>
      <c r="F34" s="66"/>
      <c r="J34" s="155" t="s">
        <v>58</v>
      </c>
      <c r="K34" s="155"/>
      <c r="M34" s="67"/>
      <c r="N34" s="62"/>
      <c r="O34" s="68"/>
    </row>
    <row r="35" spans="3:15" ht="24.95" customHeight="1" thickTop="1" thickBot="1">
      <c r="C35" s="69"/>
      <c r="D35" s="67"/>
      <c r="E35" s="62"/>
      <c r="F35" s="69"/>
      <c r="J35" s="67"/>
      <c r="K35" s="62"/>
      <c r="M35" s="67"/>
      <c r="N35" s="71"/>
      <c r="O35" s="58" t="s">
        <v>93</v>
      </c>
    </row>
    <row r="36" spans="3:15" ht="15" customHeight="1" thickTop="1" thickBot="1">
      <c r="C36" s="62"/>
      <c r="D36" s="67"/>
      <c r="E36" s="62"/>
      <c r="F36" s="62"/>
      <c r="J36" s="67"/>
      <c r="K36" s="62"/>
      <c r="M36" s="67"/>
      <c r="N36" s="61"/>
      <c r="O36" s="117">
        <v>8</v>
      </c>
    </row>
    <row r="37" spans="3:15" ht="15" customHeight="1" thickTop="1" thickBot="1">
      <c r="C37" s="66"/>
      <c r="D37" s="67"/>
      <c r="E37" s="62"/>
      <c r="F37" s="66"/>
      <c r="J37" s="67"/>
      <c r="K37" s="62"/>
      <c r="M37" s="156" t="s">
        <v>72</v>
      </c>
      <c r="N37" s="155"/>
      <c r="O37" s="68"/>
    </row>
    <row r="38" spans="3:15" ht="24.95" customHeight="1" thickTop="1" thickBot="1">
      <c r="C38" s="69"/>
      <c r="D38" s="67"/>
      <c r="E38" s="62"/>
      <c r="F38" s="69"/>
      <c r="J38" s="67"/>
      <c r="K38" s="62"/>
      <c r="M38" s="67"/>
      <c r="N38" s="71"/>
      <c r="O38" s="58" t="s">
        <v>95</v>
      </c>
    </row>
    <row r="39" spans="3:15" ht="15" customHeight="1" thickTop="1" thickBot="1">
      <c r="C39" s="62"/>
      <c r="D39" s="67"/>
      <c r="E39" s="62"/>
      <c r="F39" s="62"/>
      <c r="J39" s="67"/>
      <c r="K39" s="62"/>
      <c r="M39" s="62"/>
      <c r="N39" s="72"/>
      <c r="O39" s="118">
        <v>7.5</v>
      </c>
    </row>
    <row r="40" spans="3:15" ht="15" customHeight="1" thickTop="1" thickBot="1">
      <c r="C40" s="66"/>
      <c r="D40" s="67"/>
      <c r="E40" s="62"/>
      <c r="F40" s="66"/>
      <c r="J40" s="67"/>
      <c r="K40" s="62"/>
      <c r="L40" s="68"/>
      <c r="M40" s="62"/>
      <c r="N40" s="62"/>
      <c r="O40" s="62"/>
    </row>
    <row r="41" spans="3:15" ht="24.95" customHeight="1" thickTop="1" thickBot="1">
      <c r="C41" s="69"/>
      <c r="D41" s="70"/>
      <c r="E41" s="62"/>
      <c r="F41" s="69"/>
      <c r="J41" s="67"/>
      <c r="K41" s="71"/>
      <c r="L41" s="58" t="s">
        <v>92</v>
      </c>
      <c r="M41" s="62"/>
      <c r="N41" s="62"/>
      <c r="O41" s="62"/>
    </row>
    <row r="42" spans="3:15" ht="15" customHeight="1" thickTop="1" thickBot="1">
      <c r="C42" s="62"/>
      <c r="D42" s="67"/>
      <c r="E42" s="62"/>
      <c r="F42" s="62"/>
      <c r="J42" s="62"/>
      <c r="K42" s="72"/>
      <c r="L42" s="121">
        <v>0.25</v>
      </c>
      <c r="M42" s="62"/>
      <c r="N42" s="62"/>
      <c r="O42" s="62"/>
    </row>
    <row r="43" spans="3:15" ht="15" customHeight="1" thickTop="1" thickBot="1">
      <c r="C43" s="72"/>
      <c r="D43" s="73"/>
      <c r="E43" s="61"/>
      <c r="F43" s="61"/>
      <c r="G43" s="61"/>
      <c r="H43" s="61"/>
      <c r="I43" s="61"/>
      <c r="J43" s="61"/>
      <c r="K43" s="61"/>
      <c r="L43" s="61"/>
      <c r="M43" s="62"/>
      <c r="N43" s="62"/>
      <c r="O43" s="62"/>
    </row>
    <row r="44" spans="3:15" ht="24.95" customHeight="1" thickTop="1" thickBot="1">
      <c r="C44" s="72"/>
      <c r="D44" s="73"/>
      <c r="E44" s="74"/>
      <c r="F44" s="75" t="s">
        <v>85</v>
      </c>
      <c r="G44" s="59"/>
      <c r="H44" s="60"/>
      <c r="I44" s="58" t="s">
        <v>86</v>
      </c>
      <c r="J44" s="62"/>
      <c r="K44" s="62"/>
      <c r="L44" s="62"/>
      <c r="M44" s="62"/>
      <c r="N44" s="62"/>
      <c r="O44" s="62"/>
    </row>
    <row r="45" spans="3:15" ht="15" customHeight="1" thickTop="1" thickBot="1">
      <c r="C45" s="72"/>
      <c r="D45" s="61"/>
      <c r="E45" s="72"/>
      <c r="F45" s="64">
        <f>PRODUCT(I45,I48)</f>
        <v>1500</v>
      </c>
      <c r="G45" s="65"/>
      <c r="H45" s="61"/>
      <c r="I45" s="116">
        <v>2000</v>
      </c>
      <c r="J45" s="62"/>
      <c r="K45" s="62"/>
      <c r="L45" s="62"/>
      <c r="M45" s="62"/>
      <c r="N45" s="62"/>
      <c r="O45" s="62"/>
    </row>
    <row r="46" spans="3:15" ht="15" customHeight="1" thickTop="1" thickBot="1">
      <c r="C46" s="61"/>
      <c r="D46" s="61"/>
      <c r="E46" s="61"/>
      <c r="F46" s="61"/>
      <c r="G46" s="155" t="s">
        <v>58</v>
      </c>
      <c r="H46" s="155"/>
      <c r="I46" s="68"/>
      <c r="J46" s="61"/>
      <c r="K46" s="61"/>
      <c r="L46" s="61"/>
      <c r="M46" s="155"/>
      <c r="N46" s="155"/>
      <c r="O46" s="61"/>
    </row>
    <row r="47" spans="3:15" ht="25.5" thickTop="1" thickBot="1">
      <c r="G47" s="67"/>
      <c r="H47" s="71"/>
      <c r="I47" s="58" t="s">
        <v>87</v>
      </c>
    </row>
    <row r="48" spans="3:15" ht="13.5" thickTop="1" thickBot="1">
      <c r="G48" s="62"/>
      <c r="H48" s="72"/>
      <c r="I48" s="121">
        <v>0.75</v>
      </c>
    </row>
    <row r="49" ht="15" customHeight="1" thickTop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</sheetData>
  <sheetProtection selectLockedCells="1"/>
  <mergeCells count="7">
    <mergeCell ref="D25:E25"/>
    <mergeCell ref="G25:H25"/>
    <mergeCell ref="M37:N37"/>
    <mergeCell ref="M46:N46"/>
    <mergeCell ref="G46:H46"/>
    <mergeCell ref="G28:H28"/>
    <mergeCell ref="J34:K3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5"/>
  </sheetPr>
  <dimension ref="A1:W65"/>
  <sheetViews>
    <sheetView showGridLines="0" topLeftCell="A10" zoomScale="85" zoomScaleNormal="85" workbookViewId="0">
      <selection activeCell="C5" sqref="C5"/>
    </sheetView>
  </sheetViews>
  <sheetFormatPr defaultColWidth="0" defaultRowHeight="15" customHeight="1" zeroHeight="1" outlineLevelCol="3"/>
  <cols>
    <col min="1" max="1" width="2.5703125" style="3" customWidth="1"/>
    <col min="2" max="2" width="15.7109375" style="3" customWidth="1"/>
    <col min="3" max="3" width="20.7109375" style="3" customWidth="1"/>
    <col min="4" max="5" width="1.7109375" style="3" customWidth="1" outlineLevel="1"/>
    <col min="6" max="6" width="20.7109375" style="3" customWidth="1" outlineLevel="1"/>
    <col min="7" max="8" width="1.7109375" style="3" customWidth="1" outlineLevel="2"/>
    <col min="9" max="9" width="20.7109375" style="3" customWidth="1" outlineLevel="2"/>
    <col min="10" max="11" width="1.7109375" style="3" customWidth="1" outlineLevel="3"/>
    <col min="12" max="12" width="20.7109375" style="3" customWidth="1" outlineLevel="3"/>
    <col min="13" max="14" width="1.7109375" style="3" customWidth="1" outlineLevel="3"/>
    <col min="15" max="15" width="20.7109375" style="3" customWidth="1" outlineLevel="3"/>
    <col min="16" max="16" width="2.7109375" style="3" customWidth="1" outlineLevel="2"/>
    <col min="17" max="17" width="2.7109375" style="3" customWidth="1" outlineLevel="1"/>
    <col min="18" max="18" width="20.140625" style="3" customWidth="1" outlineLevel="1"/>
    <col min="19" max="20" width="2.7109375" style="3" customWidth="1"/>
    <col min="21" max="21" width="20.42578125" style="3" hidden="1" customWidth="1"/>
    <col min="22" max="23" width="2.7109375" style="3" hidden="1" customWidth="1"/>
    <col min="24" max="16384" width="9.140625" style="3" hidden="1"/>
  </cols>
  <sheetData>
    <row r="1" spans="2:15" ht="12"/>
    <row r="2" spans="2:15" ht="26.25">
      <c r="C2" s="7" t="str">
        <f>Copyright!B2</f>
        <v>Value Driver Modelling</v>
      </c>
    </row>
    <row r="3" spans="2:15" ht="21">
      <c r="C3" s="8" t="str">
        <f>Copyright!B3</f>
        <v>Example Value Driver Trees</v>
      </c>
    </row>
    <row r="4" spans="2:15" ht="18.75">
      <c r="C4" s="9" t="s">
        <v>161</v>
      </c>
    </row>
    <row r="5" spans="2:15" ht="15" customHeight="1">
      <c r="B5" s="4"/>
      <c r="C5" s="5"/>
      <c r="D5" s="4"/>
      <c r="E5" s="6"/>
      <c r="F5" s="4"/>
      <c r="G5" s="6"/>
    </row>
    <row r="6" spans="2:15" ht="15" customHeight="1">
      <c r="C6" s="43"/>
      <c r="D6" s="43"/>
      <c r="E6" s="43"/>
      <c r="F6" s="43"/>
      <c r="G6" s="43"/>
    </row>
    <row r="7" spans="2:15" ht="15" customHeight="1" thickBot="1">
      <c r="C7" s="43"/>
      <c r="D7" s="43"/>
      <c r="E7" s="43"/>
      <c r="F7" s="43"/>
      <c r="G7" s="43"/>
    </row>
    <row r="8" spans="2:15" ht="24.95" customHeight="1" thickTop="1" thickBot="1">
      <c r="C8" s="58" t="s">
        <v>61</v>
      </c>
      <c r="D8" s="56"/>
      <c r="E8" s="57"/>
      <c r="F8" s="58" t="s">
        <v>62</v>
      </c>
      <c r="G8" s="59"/>
      <c r="H8" s="60"/>
      <c r="I8" s="58" t="s">
        <v>60</v>
      </c>
      <c r="J8" s="61"/>
      <c r="K8" s="61"/>
      <c r="L8" s="61"/>
      <c r="M8" s="62"/>
      <c r="N8" s="62"/>
      <c r="O8" s="62"/>
    </row>
    <row r="9" spans="2:15" ht="15" customHeight="1" thickTop="1" thickBot="1">
      <c r="C9" s="64">
        <f>PRODUCT(F9,F15)</f>
        <v>39098181.818181813</v>
      </c>
      <c r="D9" s="63"/>
      <c r="E9" s="61"/>
      <c r="F9" s="88">
        <f>I12/I9</f>
        <v>36.36363636363636</v>
      </c>
      <c r="G9" s="65"/>
      <c r="H9" s="61"/>
      <c r="I9" s="84">
        <v>1.1000000000000001</v>
      </c>
      <c r="J9" s="61"/>
      <c r="K9" s="61"/>
      <c r="L9" s="61"/>
      <c r="M9" s="62"/>
      <c r="N9" s="62"/>
      <c r="O9" s="62"/>
    </row>
    <row r="10" spans="2:15" ht="15" customHeight="1" thickTop="1" thickBot="1">
      <c r="C10" s="66"/>
      <c r="D10" s="157" t="s">
        <v>58</v>
      </c>
      <c r="E10" s="157"/>
      <c r="F10" s="66"/>
      <c r="G10" s="155" t="s">
        <v>64</v>
      </c>
      <c r="H10" s="155"/>
      <c r="I10" s="68"/>
      <c r="J10" s="62"/>
      <c r="K10" s="62"/>
      <c r="L10" s="62"/>
      <c r="M10" s="62"/>
      <c r="N10" s="62"/>
      <c r="O10" s="62"/>
    </row>
    <row r="11" spans="2:15" ht="24.95" customHeight="1" thickTop="1" thickBot="1">
      <c r="C11" s="69"/>
      <c r="D11" s="70"/>
      <c r="E11" s="62"/>
      <c r="F11" s="69"/>
      <c r="G11" s="67"/>
      <c r="H11" s="71"/>
      <c r="I11" s="58" t="s">
        <v>63</v>
      </c>
      <c r="J11" s="62"/>
      <c r="K11" s="62"/>
      <c r="L11" s="62"/>
      <c r="M11" s="62"/>
      <c r="N11" s="62"/>
      <c r="O11" s="62"/>
    </row>
    <row r="12" spans="2:15" ht="15" customHeight="1" thickTop="1" thickBot="1">
      <c r="C12" s="62"/>
      <c r="D12" s="67"/>
      <c r="E12" s="62"/>
      <c r="F12" s="62"/>
      <c r="G12" s="62"/>
      <c r="H12" s="72"/>
      <c r="I12" s="84">
        <v>40</v>
      </c>
      <c r="J12" s="62"/>
      <c r="K12" s="62"/>
      <c r="L12" s="62"/>
      <c r="M12" s="62"/>
      <c r="N12" s="62"/>
      <c r="O12" s="62"/>
    </row>
    <row r="13" spans="2:15" ht="15" customHeight="1" thickTop="1" thickBot="1">
      <c r="C13" s="72"/>
      <c r="D13" s="73"/>
      <c r="E13" s="61"/>
      <c r="F13" s="61"/>
      <c r="G13" s="61"/>
      <c r="H13" s="61"/>
      <c r="I13" s="61"/>
      <c r="J13" s="61"/>
      <c r="K13" s="61"/>
      <c r="L13" s="61"/>
      <c r="M13" s="62"/>
      <c r="N13" s="62"/>
      <c r="O13" s="62"/>
    </row>
    <row r="14" spans="2:15" ht="24.95" customHeight="1" thickTop="1" thickBot="1">
      <c r="C14" s="72"/>
      <c r="D14" s="73"/>
      <c r="E14" s="74"/>
      <c r="F14" s="75" t="s">
        <v>67</v>
      </c>
      <c r="G14" s="59"/>
      <c r="H14" s="60"/>
      <c r="I14" s="58" t="s">
        <v>66</v>
      </c>
      <c r="J14" s="59"/>
      <c r="K14" s="60"/>
      <c r="L14" s="76" t="s">
        <v>65</v>
      </c>
      <c r="M14" s="60"/>
      <c r="N14" s="71"/>
      <c r="O14" s="58" t="s">
        <v>101</v>
      </c>
    </row>
    <row r="15" spans="2:15" ht="15" customHeight="1" thickTop="1" thickBot="1">
      <c r="C15" s="72"/>
      <c r="D15" s="61"/>
      <c r="E15" s="72"/>
      <c r="F15" s="64">
        <f>MIN(I15,I27,I33)</f>
        <v>1075200</v>
      </c>
      <c r="G15" s="65"/>
      <c r="H15" s="61"/>
      <c r="I15" s="64">
        <f>MIN(L15,L21)</f>
        <v>1157863.2</v>
      </c>
      <c r="J15" s="65"/>
      <c r="K15" s="61"/>
      <c r="L15" s="83">
        <f>O15*O18</f>
        <v>1289883.2000000002</v>
      </c>
      <c r="M15" s="65"/>
      <c r="N15" s="72"/>
      <c r="O15" s="83">
        <v>1612354</v>
      </c>
    </row>
    <row r="16" spans="2:15" ht="15" customHeight="1" thickTop="1" thickBot="1">
      <c r="C16" s="61"/>
      <c r="D16" s="61"/>
      <c r="E16" s="61"/>
      <c r="F16" s="61"/>
      <c r="G16" s="157" t="s">
        <v>68</v>
      </c>
      <c r="H16" s="157"/>
      <c r="I16" s="61"/>
      <c r="J16" s="157" t="s">
        <v>68</v>
      </c>
      <c r="K16" s="157"/>
      <c r="L16" s="61"/>
      <c r="M16" s="155" t="s">
        <v>94</v>
      </c>
      <c r="N16" s="155"/>
      <c r="O16" s="61"/>
    </row>
    <row r="17" spans="3:15" ht="24.95" customHeight="1" thickTop="1" thickBot="1">
      <c r="C17" s="66"/>
      <c r="D17" s="66"/>
      <c r="E17" s="61"/>
      <c r="F17" s="61"/>
      <c r="G17" s="73"/>
      <c r="H17" s="61"/>
      <c r="I17" s="61"/>
      <c r="J17" s="73"/>
      <c r="K17" s="61"/>
      <c r="L17" s="61"/>
      <c r="M17" s="77"/>
      <c r="N17" s="71"/>
      <c r="O17" s="58" t="s">
        <v>102</v>
      </c>
    </row>
    <row r="18" spans="3:15" ht="15" customHeight="1" thickTop="1" thickBot="1">
      <c r="C18" s="69"/>
      <c r="D18" s="69"/>
      <c r="E18" s="61"/>
      <c r="F18" s="61"/>
      <c r="G18" s="73"/>
      <c r="H18" s="61"/>
      <c r="I18" s="61"/>
      <c r="J18" s="73"/>
      <c r="K18" s="61"/>
      <c r="L18" s="61"/>
      <c r="M18" s="72"/>
      <c r="N18" s="72"/>
      <c r="O18" s="84">
        <v>0.8</v>
      </c>
    </row>
    <row r="19" spans="3:15" ht="15" customHeight="1" thickTop="1" thickBot="1">
      <c r="C19" s="72"/>
      <c r="D19" s="61"/>
      <c r="E19" s="61"/>
      <c r="F19" s="61"/>
      <c r="G19" s="73"/>
      <c r="H19" s="61"/>
      <c r="I19" s="61"/>
      <c r="J19" s="73"/>
      <c r="K19" s="61"/>
      <c r="L19" s="61"/>
      <c r="M19" s="61"/>
      <c r="N19" s="61"/>
      <c r="O19" s="61"/>
    </row>
    <row r="20" spans="3:15" ht="24.95" customHeight="1" thickTop="1" thickBot="1">
      <c r="C20" s="87" t="s">
        <v>56</v>
      </c>
      <c r="D20" s="61"/>
      <c r="E20" s="61"/>
      <c r="F20" s="61"/>
      <c r="G20" s="73"/>
      <c r="H20" s="61"/>
      <c r="I20" s="61"/>
      <c r="J20" s="73"/>
      <c r="K20" s="59"/>
      <c r="L20" s="75" t="s">
        <v>39</v>
      </c>
      <c r="M20" s="60"/>
      <c r="N20" s="71"/>
      <c r="O20" s="58" t="s">
        <v>154</v>
      </c>
    </row>
    <row r="21" spans="3:15" ht="15" customHeight="1" thickTop="1" thickBot="1">
      <c r="C21" s="85" t="s">
        <v>57</v>
      </c>
      <c r="D21" s="61"/>
      <c r="E21" s="61"/>
      <c r="F21" s="61"/>
      <c r="G21" s="73"/>
      <c r="H21" s="61"/>
      <c r="I21" s="61"/>
      <c r="J21" s="61"/>
      <c r="K21" s="61"/>
      <c r="L21" s="83">
        <f>O21*O24</f>
        <v>1157863.2</v>
      </c>
      <c r="M21" s="65"/>
      <c r="N21" s="72"/>
      <c r="O21" s="83">
        <v>5789316</v>
      </c>
    </row>
    <row r="22" spans="3:15" ht="15" customHeight="1" thickTop="1" thickBot="1">
      <c r="C22" s="86" t="s">
        <v>55</v>
      </c>
      <c r="D22" s="72"/>
      <c r="E22" s="72"/>
      <c r="F22" s="61"/>
      <c r="G22" s="73"/>
      <c r="H22" s="61"/>
      <c r="I22" s="61"/>
      <c r="J22" s="61"/>
      <c r="K22" s="61"/>
      <c r="L22" s="61"/>
      <c r="M22" s="155" t="s">
        <v>94</v>
      </c>
      <c r="N22" s="155"/>
      <c r="O22" s="61"/>
    </row>
    <row r="23" spans="3:15" ht="24.95" customHeight="1" thickTop="1" thickBot="1">
      <c r="C23" s="61"/>
      <c r="D23" s="72"/>
      <c r="E23" s="72"/>
      <c r="F23" s="61"/>
      <c r="G23" s="73"/>
      <c r="H23" s="61"/>
      <c r="I23" s="61"/>
      <c r="J23" s="61"/>
      <c r="K23" s="61"/>
      <c r="L23" s="61"/>
      <c r="M23" s="77"/>
      <c r="N23" s="71"/>
      <c r="O23" s="78" t="s">
        <v>103</v>
      </c>
    </row>
    <row r="24" spans="3:15" ht="15" customHeight="1" thickTop="1" thickBot="1">
      <c r="C24" s="61"/>
      <c r="D24" s="61"/>
      <c r="E24" s="72"/>
      <c r="F24" s="61"/>
      <c r="G24" s="73"/>
      <c r="H24" s="61"/>
      <c r="I24" s="61"/>
      <c r="J24" s="61"/>
      <c r="K24" s="61"/>
      <c r="L24" s="61"/>
      <c r="M24" s="72"/>
      <c r="N24" s="72"/>
      <c r="O24" s="84">
        <v>0.2</v>
      </c>
    </row>
    <row r="25" spans="3:15" ht="15" customHeight="1" thickTop="1" thickBot="1">
      <c r="C25" s="61"/>
      <c r="D25" s="61"/>
      <c r="E25" s="61"/>
      <c r="F25" s="61"/>
      <c r="G25" s="73"/>
      <c r="H25" s="61"/>
      <c r="I25" s="72"/>
      <c r="J25" s="61"/>
      <c r="K25" s="62"/>
      <c r="L25" s="62"/>
      <c r="M25" s="61"/>
      <c r="N25" s="61"/>
      <c r="O25" s="62"/>
    </row>
    <row r="26" spans="3:15" ht="24.95" customHeight="1" thickTop="1" thickBot="1">
      <c r="C26" s="61"/>
      <c r="D26" s="61"/>
      <c r="E26" s="61"/>
      <c r="F26" s="61"/>
      <c r="G26" s="73"/>
      <c r="H26" s="59"/>
      <c r="I26" s="75" t="s">
        <v>104</v>
      </c>
      <c r="J26" s="59"/>
      <c r="K26" s="60"/>
      <c r="L26" s="76" t="s">
        <v>49</v>
      </c>
      <c r="M26" s="79"/>
      <c r="N26" s="62"/>
      <c r="O26" s="66"/>
    </row>
    <row r="27" spans="3:15" ht="15" customHeight="1" thickTop="1" thickBot="1">
      <c r="C27" s="61"/>
      <c r="D27" s="61"/>
      <c r="E27" s="61"/>
      <c r="F27" s="61"/>
      <c r="G27" s="73"/>
      <c r="H27" s="61"/>
      <c r="I27" s="64">
        <f>L27*L30</f>
        <v>1081825</v>
      </c>
      <c r="J27" s="65"/>
      <c r="K27" s="61"/>
      <c r="L27" s="83">
        <v>1985</v>
      </c>
      <c r="M27" s="61"/>
      <c r="N27" s="61"/>
      <c r="O27" s="69"/>
    </row>
    <row r="28" spans="3:15" ht="15" customHeight="1" thickTop="1" thickBot="1">
      <c r="C28" s="61"/>
      <c r="D28" s="61"/>
      <c r="E28" s="61"/>
      <c r="F28" s="61"/>
      <c r="G28" s="157" t="s">
        <v>68</v>
      </c>
      <c r="H28" s="157"/>
      <c r="I28" s="61"/>
      <c r="J28" s="157" t="s">
        <v>58</v>
      </c>
      <c r="K28" s="157"/>
      <c r="L28" s="61"/>
      <c r="M28" s="61"/>
      <c r="N28" s="61"/>
      <c r="O28" s="61"/>
    </row>
    <row r="29" spans="3:15" ht="24.95" customHeight="1" thickTop="1" thickBot="1">
      <c r="C29" s="61"/>
      <c r="D29" s="61"/>
      <c r="E29" s="72"/>
      <c r="F29" s="61"/>
      <c r="G29" s="73"/>
      <c r="H29" s="61"/>
      <c r="I29" s="61"/>
      <c r="J29" s="73"/>
      <c r="K29" s="81"/>
      <c r="L29" s="76" t="s">
        <v>69</v>
      </c>
    </row>
    <row r="30" spans="3:15" ht="15" customHeight="1" thickTop="1" thickBot="1">
      <c r="C30" s="61"/>
      <c r="D30" s="61"/>
      <c r="E30" s="72"/>
      <c r="F30" s="61"/>
      <c r="G30" s="73"/>
      <c r="H30" s="61"/>
      <c r="I30" s="61"/>
      <c r="J30" s="61"/>
      <c r="K30" s="61"/>
      <c r="L30" s="83">
        <v>545</v>
      </c>
    </row>
    <row r="31" spans="3:15" ht="15" customHeight="1" thickTop="1" thickBot="1">
      <c r="C31" s="61"/>
      <c r="D31" s="61"/>
      <c r="E31" s="61"/>
      <c r="F31" s="61"/>
      <c r="G31" s="73"/>
      <c r="H31" s="61"/>
      <c r="I31" s="61"/>
      <c r="J31" s="61"/>
      <c r="K31" s="61"/>
      <c r="L31" s="61"/>
      <c r="M31" s="61"/>
      <c r="N31" s="61"/>
      <c r="O31" s="61"/>
    </row>
    <row r="32" spans="3:15" ht="24.95" customHeight="1" thickTop="1" thickBot="1">
      <c r="C32" s="61"/>
      <c r="D32" s="61"/>
      <c r="E32" s="61"/>
      <c r="F32" s="61"/>
      <c r="G32" s="73"/>
      <c r="H32" s="59"/>
      <c r="I32" s="75" t="s">
        <v>105</v>
      </c>
      <c r="J32" s="59"/>
      <c r="K32" s="60"/>
      <c r="L32" s="76" t="s">
        <v>40</v>
      </c>
      <c r="M32" s="59"/>
      <c r="N32" s="60"/>
      <c r="O32" s="76" t="s">
        <v>41</v>
      </c>
    </row>
    <row r="33" spans="3:15" ht="15" customHeight="1" thickTop="1" thickBot="1">
      <c r="C33" s="61"/>
      <c r="D33" s="61"/>
      <c r="E33" s="61"/>
      <c r="F33" s="61"/>
      <c r="G33" s="61"/>
      <c r="H33" s="61"/>
      <c r="I33" s="64">
        <f>L33*L39*L42</f>
        <v>1075200</v>
      </c>
      <c r="J33" s="65"/>
      <c r="K33" s="61"/>
      <c r="L33" s="64">
        <f>O33*O36</f>
        <v>1920</v>
      </c>
      <c r="M33" s="65"/>
      <c r="N33" s="61"/>
      <c r="O33" s="83">
        <v>240</v>
      </c>
    </row>
    <row r="34" spans="3:15" ht="15" customHeight="1" thickTop="1" thickBot="1">
      <c r="C34" s="61"/>
      <c r="D34" s="61"/>
      <c r="E34" s="61"/>
      <c r="F34" s="61"/>
      <c r="G34" s="61"/>
      <c r="H34" s="61"/>
      <c r="I34" s="61"/>
      <c r="J34" s="157" t="s">
        <v>58</v>
      </c>
      <c r="K34" s="157"/>
      <c r="L34" s="61"/>
      <c r="M34" s="157" t="s">
        <v>58</v>
      </c>
      <c r="N34" s="157"/>
      <c r="O34" s="61"/>
    </row>
    <row r="35" spans="3:15" ht="24.95" customHeight="1" thickTop="1" thickBot="1">
      <c r="C35" s="61"/>
      <c r="D35" s="61"/>
      <c r="E35" s="61"/>
      <c r="F35" s="61"/>
      <c r="G35" s="61"/>
      <c r="H35" s="61"/>
      <c r="I35" s="82"/>
      <c r="J35" s="73"/>
      <c r="K35" s="61"/>
      <c r="L35" s="61"/>
      <c r="M35" s="73"/>
      <c r="N35" s="81"/>
      <c r="O35" s="76" t="s">
        <v>42</v>
      </c>
    </row>
    <row r="36" spans="3:15" ht="15" customHeight="1" thickTop="1" thickBot="1">
      <c r="C36" s="61"/>
      <c r="D36" s="61"/>
      <c r="E36" s="61"/>
      <c r="F36" s="61"/>
      <c r="G36" s="61"/>
      <c r="H36" s="61"/>
      <c r="I36" s="61"/>
      <c r="J36" s="73"/>
      <c r="K36" s="61"/>
      <c r="L36" s="61"/>
      <c r="M36" s="61"/>
      <c r="N36" s="61"/>
      <c r="O36" s="83">
        <v>8</v>
      </c>
    </row>
    <row r="37" spans="3:15" ht="15" customHeight="1" thickTop="1" thickBot="1">
      <c r="C37" s="61"/>
      <c r="D37" s="61"/>
      <c r="E37" s="61"/>
      <c r="F37" s="61"/>
      <c r="G37" s="61"/>
      <c r="H37" s="61"/>
      <c r="I37" s="61"/>
      <c r="J37" s="73"/>
      <c r="K37" s="61"/>
      <c r="L37" s="61"/>
      <c r="M37" s="61"/>
      <c r="N37" s="61"/>
      <c r="O37" s="61"/>
    </row>
    <row r="38" spans="3:15" ht="24.95" customHeight="1" thickTop="1" thickBot="1">
      <c r="C38" s="61"/>
      <c r="D38" s="61"/>
      <c r="E38" s="61"/>
      <c r="F38" s="61"/>
      <c r="G38" s="61"/>
      <c r="H38" s="61"/>
      <c r="I38" s="61"/>
      <c r="J38" s="73"/>
      <c r="K38" s="57"/>
      <c r="L38" s="76" t="s">
        <v>70</v>
      </c>
      <c r="M38" s="61"/>
      <c r="N38" s="61"/>
      <c r="O38" s="66"/>
    </row>
    <row r="39" spans="3:15" ht="15" customHeight="1" thickTop="1" thickBot="1">
      <c r="C39" s="61"/>
      <c r="D39" s="61"/>
      <c r="E39" s="61"/>
      <c r="F39" s="61"/>
      <c r="G39" s="61"/>
      <c r="H39" s="61"/>
      <c r="I39" s="61"/>
      <c r="J39" s="73"/>
      <c r="K39" s="61"/>
      <c r="L39" s="83">
        <v>14</v>
      </c>
      <c r="M39" s="61"/>
      <c r="N39" s="61"/>
      <c r="O39" s="69"/>
    </row>
    <row r="40" spans="3:15" ht="15" customHeight="1" thickTop="1" thickBot="1">
      <c r="C40" s="61"/>
      <c r="D40" s="61"/>
      <c r="E40" s="61"/>
      <c r="F40" s="61"/>
      <c r="G40" s="61"/>
      <c r="H40" s="61"/>
      <c r="I40" s="61"/>
      <c r="J40" s="157" t="s">
        <v>58</v>
      </c>
      <c r="K40" s="157"/>
      <c r="L40" s="61"/>
      <c r="M40" s="61"/>
      <c r="N40" s="61"/>
      <c r="O40" s="62"/>
    </row>
    <row r="41" spans="3:15" ht="24.95" customHeight="1" thickTop="1" thickBot="1">
      <c r="C41" s="62"/>
      <c r="D41" s="62"/>
      <c r="E41" s="62"/>
      <c r="F41" s="62"/>
      <c r="G41" s="62"/>
      <c r="H41" s="62"/>
      <c r="I41" s="61"/>
      <c r="J41" s="61"/>
      <c r="K41" s="81"/>
      <c r="L41" s="76" t="s">
        <v>69</v>
      </c>
      <c r="M41" s="61"/>
      <c r="N41" s="61"/>
      <c r="O41" s="66"/>
    </row>
    <row r="42" spans="3:15" ht="20.100000000000001" customHeight="1" thickTop="1" thickBot="1">
      <c r="C42" s="62"/>
      <c r="D42" s="62"/>
      <c r="E42" s="62"/>
      <c r="F42" s="62"/>
      <c r="G42" s="62"/>
      <c r="H42" s="62"/>
      <c r="I42" s="61"/>
      <c r="J42" s="61"/>
      <c r="K42" s="61"/>
      <c r="L42" s="83">
        <v>40</v>
      </c>
      <c r="M42" s="61"/>
      <c r="N42" s="61"/>
      <c r="O42" s="69"/>
    </row>
    <row r="43" spans="3:15" ht="15" customHeight="1" thickTop="1"/>
    <row r="44" spans="3:15" ht="15" customHeight="1"/>
    <row r="45" spans="3:15" ht="15" hidden="1" customHeight="1"/>
    <row r="46" spans="3:15" ht="15" hidden="1" customHeight="1"/>
    <row r="47" spans="3:15" ht="15" hidden="1" customHeight="1"/>
    <row r="48" spans="3:15" ht="15" hidden="1" customHeight="1"/>
    <row r="49" ht="15" hidden="1" customHeight="1"/>
    <row r="50" ht="15" hidden="1" customHeight="1"/>
    <row r="51" ht="15" hidden="1" customHeight="1"/>
    <row r="52" ht="15" hidden="1" customHeight="1"/>
    <row r="53" ht="15" hidden="1" customHeight="1"/>
    <row r="54" ht="15" hidden="1" customHeight="1"/>
    <row r="55" ht="15" hidden="1" customHeight="1"/>
    <row r="56" ht="15" hidden="1" customHeight="1"/>
    <row r="57" ht="15" hidden="1" customHeight="1"/>
    <row r="58" ht="15" hidden="1" customHeight="1"/>
    <row r="59" ht="15" hidden="1" customHeight="1"/>
    <row r="60" ht="15" hidden="1" customHeight="1"/>
    <row r="61" ht="15" hidden="1" customHeight="1"/>
    <row r="62" ht="15" hidden="1" customHeight="1"/>
    <row r="63" ht="15" customHeight="1"/>
    <row r="64" ht="15" customHeight="1"/>
    <row r="65" ht="15" customHeight="1"/>
  </sheetData>
  <sheetProtection selectLockedCells="1"/>
  <mergeCells count="11">
    <mergeCell ref="M16:N16"/>
    <mergeCell ref="J40:K40"/>
    <mergeCell ref="D10:E10"/>
    <mergeCell ref="G10:H10"/>
    <mergeCell ref="G16:H16"/>
    <mergeCell ref="J16:K16"/>
    <mergeCell ref="M22:N22"/>
    <mergeCell ref="G28:H28"/>
    <mergeCell ref="J28:K28"/>
    <mergeCell ref="J34:K34"/>
    <mergeCell ref="M34:N34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5"/>
  </sheetPr>
  <dimension ref="A1:S59"/>
  <sheetViews>
    <sheetView showGridLines="0" zoomScale="85" zoomScaleNormal="85" workbookViewId="0">
      <selection activeCell="C5" sqref="C5"/>
    </sheetView>
  </sheetViews>
  <sheetFormatPr defaultColWidth="0" defaultRowHeight="15" customHeight="1" zeroHeight="1" outlineLevelCol="3"/>
  <cols>
    <col min="1" max="1" width="2.5703125" style="3" customWidth="1"/>
    <col min="2" max="2" width="15.7109375" style="3" customWidth="1"/>
    <col min="3" max="3" width="20.7109375" style="3" customWidth="1"/>
    <col min="4" max="5" width="1.7109375" style="3" customWidth="1" outlineLevel="1"/>
    <col min="6" max="6" width="20.7109375" style="3" customWidth="1" outlineLevel="1"/>
    <col min="7" max="8" width="1.7109375" style="3" customWidth="1" outlineLevel="2"/>
    <col min="9" max="9" width="20.7109375" style="3" customWidth="1" outlineLevel="2"/>
    <col min="10" max="11" width="1.7109375" style="3" customWidth="1" outlineLevel="3"/>
    <col min="12" max="12" width="20.7109375" style="3" customWidth="1" outlineLevel="3"/>
    <col min="13" max="14" width="1.7109375" style="3" customWidth="1" outlineLevel="3"/>
    <col min="15" max="15" width="20.7109375" style="3" customWidth="1" outlineLevel="3"/>
    <col min="16" max="16" width="9.140625" style="3" customWidth="1" outlineLevel="2"/>
    <col min="17" max="18" width="9.140625" style="3" customWidth="1" outlineLevel="1"/>
    <col min="19" max="19" width="9.140625" style="3" customWidth="1"/>
    <col min="20" max="16384" width="9.140625" style="3" hidden="1"/>
  </cols>
  <sheetData>
    <row r="1" spans="2:15" ht="12"/>
    <row r="2" spans="2:15" ht="26.25">
      <c r="C2" s="7" t="str">
        <f>Copyright!B2</f>
        <v>Value Driver Modelling</v>
      </c>
    </row>
    <row r="3" spans="2:15" ht="21">
      <c r="C3" s="8" t="str">
        <f>Copyright!B3</f>
        <v>Example Value Driver Trees</v>
      </c>
    </row>
    <row r="4" spans="2:15" ht="18.75">
      <c r="C4" s="9" t="s">
        <v>162</v>
      </c>
    </row>
    <row r="5" spans="2:15" ht="15" customHeight="1">
      <c r="B5" s="4"/>
      <c r="C5" s="5"/>
      <c r="D5" s="4"/>
      <c r="E5" s="6"/>
      <c r="F5" s="4"/>
      <c r="G5" s="6"/>
    </row>
    <row r="6" spans="2:15" ht="15" customHeight="1">
      <c r="C6" s="43"/>
      <c r="D6" s="43"/>
      <c r="E6" s="43"/>
      <c r="F6" s="43"/>
      <c r="G6" s="43"/>
    </row>
    <row r="7" spans="2:15" ht="15" customHeight="1" thickBot="1">
      <c r="C7" s="43"/>
      <c r="D7" s="43"/>
      <c r="E7" s="43"/>
      <c r="F7" s="43"/>
      <c r="G7" s="43"/>
    </row>
    <row r="8" spans="2:15" ht="24.95" customHeight="1" thickTop="1" thickBot="1">
      <c r="C8" s="58" t="s">
        <v>43</v>
      </c>
      <c r="D8" s="56"/>
      <c r="E8" s="57"/>
      <c r="F8" s="58" t="s">
        <v>44</v>
      </c>
      <c r="G8" s="59"/>
      <c r="H8" s="60"/>
      <c r="I8" s="58" t="s">
        <v>45</v>
      </c>
      <c r="J8" s="61"/>
      <c r="K8" s="61"/>
      <c r="L8" s="61"/>
      <c r="M8" s="62"/>
      <c r="N8" s="62"/>
      <c r="O8" s="62"/>
    </row>
    <row r="9" spans="2:15" ht="15" customHeight="1" thickTop="1" thickBot="1">
      <c r="C9" s="64">
        <f>SUM(L15,L21,I27,I36)</f>
        <v>21995356.379999999</v>
      </c>
      <c r="D9" s="63"/>
      <c r="E9" s="61"/>
      <c r="F9" s="64">
        <f>SUM(I9,I12)</f>
        <v>612562</v>
      </c>
      <c r="G9" s="65"/>
      <c r="H9" s="61"/>
      <c r="I9" s="83">
        <v>28000</v>
      </c>
      <c r="J9" s="61"/>
      <c r="K9" s="61"/>
      <c r="L9" s="61"/>
      <c r="M9" s="62"/>
      <c r="N9" s="62"/>
      <c r="O9" s="62"/>
    </row>
    <row r="10" spans="2:15" ht="15" customHeight="1" thickTop="1" thickBot="1">
      <c r="C10" s="66"/>
      <c r="D10" s="157" t="s">
        <v>59</v>
      </c>
      <c r="E10" s="157"/>
      <c r="F10" s="66"/>
      <c r="G10" s="157" t="s">
        <v>59</v>
      </c>
      <c r="H10" s="157"/>
      <c r="I10" s="68"/>
      <c r="J10" s="62"/>
      <c r="K10" s="62"/>
      <c r="L10" s="62"/>
      <c r="M10" s="62"/>
      <c r="N10" s="62"/>
      <c r="O10" s="62"/>
    </row>
    <row r="11" spans="2:15" ht="24.95" customHeight="1" thickTop="1" thickBot="1">
      <c r="C11" s="69"/>
      <c r="D11" s="70"/>
      <c r="E11" s="62"/>
      <c r="F11" s="69"/>
      <c r="G11" s="67"/>
      <c r="H11" s="71"/>
      <c r="I11" s="58" t="s">
        <v>37</v>
      </c>
      <c r="J11" s="62"/>
      <c r="K11" s="62"/>
      <c r="L11" s="62"/>
      <c r="M11" s="62"/>
      <c r="N11" s="62"/>
      <c r="O11" s="62"/>
    </row>
    <row r="12" spans="2:15" ht="15" customHeight="1" thickTop="1" thickBot="1">
      <c r="C12" s="62"/>
      <c r="D12" s="67"/>
      <c r="E12" s="62"/>
      <c r="F12" s="62"/>
      <c r="G12" s="62"/>
      <c r="H12" s="72"/>
      <c r="I12" s="83">
        <v>584562</v>
      </c>
      <c r="J12" s="62"/>
      <c r="K12" s="62"/>
      <c r="L12" s="62"/>
      <c r="M12" s="62"/>
      <c r="N12" s="62"/>
      <c r="O12" s="62"/>
    </row>
    <row r="13" spans="2:15" ht="15" customHeight="1" thickTop="1" thickBot="1">
      <c r="C13" s="72"/>
      <c r="D13" s="73"/>
      <c r="E13" s="61"/>
      <c r="F13" s="61"/>
      <c r="G13" s="61"/>
      <c r="H13" s="61"/>
      <c r="I13" s="61"/>
      <c r="J13" s="61"/>
      <c r="K13" s="61"/>
      <c r="L13" s="61"/>
      <c r="M13" s="62"/>
      <c r="N13" s="62"/>
      <c r="O13" s="62"/>
    </row>
    <row r="14" spans="2:15" ht="24.95" customHeight="1" thickTop="1" thickBot="1">
      <c r="C14" s="72"/>
      <c r="D14" s="73"/>
      <c r="E14" s="74"/>
      <c r="F14" s="75" t="s">
        <v>46</v>
      </c>
      <c r="G14" s="59"/>
      <c r="H14" s="60"/>
      <c r="I14" s="58" t="s">
        <v>47</v>
      </c>
      <c r="J14" s="59"/>
      <c r="K14" s="60"/>
      <c r="L14" s="76" t="s">
        <v>38</v>
      </c>
      <c r="M14" s="60"/>
      <c r="N14" s="71"/>
      <c r="O14" s="58" t="s">
        <v>101</v>
      </c>
    </row>
    <row r="15" spans="2:15" ht="15" customHeight="1" thickTop="1" thickBot="1">
      <c r="C15" s="72"/>
      <c r="D15" s="61"/>
      <c r="E15" s="72"/>
      <c r="F15" s="64">
        <f>SUM(I15,I27,I36)</f>
        <v>21995356.379999999</v>
      </c>
      <c r="G15" s="65"/>
      <c r="H15" s="61"/>
      <c r="I15" s="64">
        <f>SUM(L15,L21)</f>
        <v>17578632</v>
      </c>
      <c r="J15" s="65"/>
      <c r="K15" s="61"/>
      <c r="L15" s="64">
        <f>O15*O18</f>
        <v>6000000</v>
      </c>
      <c r="M15" s="65"/>
      <c r="N15" s="72"/>
      <c r="O15" s="83">
        <v>2000000</v>
      </c>
    </row>
    <row r="16" spans="2:15" ht="15" customHeight="1" thickTop="1" thickBot="1">
      <c r="C16" s="61"/>
      <c r="D16" s="61"/>
      <c r="E16" s="61"/>
      <c r="F16" s="61"/>
      <c r="G16" s="157" t="s">
        <v>59</v>
      </c>
      <c r="H16" s="157"/>
      <c r="I16" s="61"/>
      <c r="J16" s="157" t="s">
        <v>59</v>
      </c>
      <c r="K16" s="157"/>
      <c r="L16" s="61"/>
      <c r="M16" s="157" t="s">
        <v>58</v>
      </c>
      <c r="N16" s="157"/>
      <c r="O16" s="61"/>
    </row>
    <row r="17" spans="3:15" ht="24.95" customHeight="1" thickTop="1" thickBot="1">
      <c r="C17" s="66"/>
      <c r="D17" s="66"/>
      <c r="E17" s="61"/>
      <c r="F17" s="61"/>
      <c r="G17" s="73"/>
      <c r="H17" s="61"/>
      <c r="I17" s="61"/>
      <c r="J17" s="73"/>
      <c r="K17" s="61"/>
      <c r="L17" s="61"/>
      <c r="M17" s="77"/>
      <c r="N17" s="71"/>
      <c r="O17" s="58" t="s">
        <v>152</v>
      </c>
    </row>
    <row r="18" spans="3:15" ht="15" customHeight="1" thickTop="1" thickBot="1">
      <c r="C18" s="69"/>
      <c r="D18" s="69"/>
      <c r="E18" s="61"/>
      <c r="F18" s="61"/>
      <c r="G18" s="73"/>
      <c r="H18" s="61"/>
      <c r="I18" s="61"/>
      <c r="J18" s="73"/>
      <c r="K18" s="61"/>
      <c r="L18" s="61"/>
      <c r="M18" s="72"/>
      <c r="N18" s="72"/>
      <c r="O18" s="83">
        <v>3</v>
      </c>
    </row>
    <row r="19" spans="3:15" ht="15" customHeight="1" thickTop="1" thickBot="1">
      <c r="C19" s="72"/>
      <c r="D19" s="61"/>
      <c r="E19" s="61"/>
      <c r="F19" s="61"/>
      <c r="G19" s="73"/>
      <c r="H19" s="61"/>
      <c r="I19" s="61"/>
      <c r="J19" s="73"/>
      <c r="K19" s="61"/>
      <c r="L19" s="61"/>
      <c r="M19" s="61"/>
      <c r="N19" s="61"/>
      <c r="O19" s="61"/>
    </row>
    <row r="20" spans="3:15" ht="24.95" customHeight="1" thickTop="1" thickBot="1">
      <c r="C20" s="87" t="s">
        <v>56</v>
      </c>
      <c r="D20" s="61"/>
      <c r="E20" s="61"/>
      <c r="F20" s="61"/>
      <c r="G20" s="73"/>
      <c r="H20" s="61"/>
      <c r="I20" s="61"/>
      <c r="J20" s="73"/>
      <c r="K20" s="59"/>
      <c r="L20" s="75" t="s">
        <v>39</v>
      </c>
      <c r="M20" s="60"/>
      <c r="N20" s="71"/>
      <c r="O20" s="58" t="s">
        <v>154</v>
      </c>
    </row>
    <row r="21" spans="3:15" ht="15" customHeight="1" thickTop="1" thickBot="1">
      <c r="C21" s="85" t="s">
        <v>57</v>
      </c>
      <c r="D21" s="61"/>
      <c r="E21" s="61"/>
      <c r="F21" s="61"/>
      <c r="G21" s="73"/>
      <c r="H21" s="61"/>
      <c r="I21" s="61"/>
      <c r="J21" s="61"/>
      <c r="K21" s="61"/>
      <c r="L21" s="64">
        <f>O21*O24</f>
        <v>11578632</v>
      </c>
      <c r="M21" s="65"/>
      <c r="N21" s="72"/>
      <c r="O21" s="83">
        <v>5789316</v>
      </c>
    </row>
    <row r="22" spans="3:15" ht="15" customHeight="1" thickTop="1" thickBot="1">
      <c r="C22" s="86" t="s">
        <v>55</v>
      </c>
      <c r="D22" s="72"/>
      <c r="E22" s="72"/>
      <c r="F22" s="61"/>
      <c r="G22" s="73"/>
      <c r="H22" s="61"/>
      <c r="I22" s="61"/>
      <c r="J22" s="61"/>
      <c r="K22" s="61"/>
      <c r="L22" s="61"/>
      <c r="M22" s="157" t="s">
        <v>58</v>
      </c>
      <c r="N22" s="157"/>
      <c r="O22" s="61"/>
    </row>
    <row r="23" spans="3:15" ht="24.95" customHeight="1" thickTop="1" thickBot="1">
      <c r="C23" s="61"/>
      <c r="D23" s="72"/>
      <c r="E23" s="72"/>
      <c r="F23" s="61"/>
      <c r="G23" s="73"/>
      <c r="H23" s="61"/>
      <c r="I23" s="61"/>
      <c r="J23" s="61"/>
      <c r="K23" s="61"/>
      <c r="L23" s="61"/>
      <c r="M23" s="77"/>
      <c r="N23" s="71"/>
      <c r="O23" s="78" t="s">
        <v>153</v>
      </c>
    </row>
    <row r="24" spans="3:15" ht="15" customHeight="1" thickTop="1" thickBot="1">
      <c r="C24" s="61"/>
      <c r="D24" s="61"/>
      <c r="E24" s="72"/>
      <c r="F24" s="61"/>
      <c r="G24" s="73"/>
      <c r="H24" s="61"/>
      <c r="I24" s="61"/>
      <c r="J24" s="61"/>
      <c r="K24" s="61"/>
      <c r="L24" s="61"/>
      <c r="M24" s="72"/>
      <c r="N24" s="72"/>
      <c r="O24" s="83">
        <v>2</v>
      </c>
    </row>
    <row r="25" spans="3:15" ht="15" customHeight="1" thickTop="1" thickBot="1">
      <c r="C25" s="61"/>
      <c r="D25" s="61"/>
      <c r="E25" s="61"/>
      <c r="F25" s="61"/>
      <c r="G25" s="73"/>
      <c r="H25" s="61"/>
      <c r="I25" s="72"/>
      <c r="J25" s="61"/>
      <c r="K25" s="62"/>
      <c r="L25" s="62"/>
      <c r="M25" s="61"/>
      <c r="N25" s="61"/>
      <c r="O25" s="62"/>
    </row>
    <row r="26" spans="3:15" ht="24.95" customHeight="1" thickTop="1" thickBot="1">
      <c r="C26" s="61"/>
      <c r="D26" s="61"/>
      <c r="E26" s="61"/>
      <c r="F26" s="61"/>
      <c r="G26" s="73"/>
      <c r="H26" s="59"/>
      <c r="I26" s="75" t="s">
        <v>48</v>
      </c>
      <c r="J26" s="59"/>
      <c r="K26" s="60"/>
      <c r="L26" s="76" t="s">
        <v>49</v>
      </c>
      <c r="M26" s="79"/>
      <c r="N26" s="62"/>
      <c r="O26" s="66"/>
    </row>
    <row r="27" spans="3:15" ht="15" customHeight="1" thickTop="1" thickBot="1">
      <c r="C27" s="61"/>
      <c r="D27" s="61"/>
      <c r="E27" s="61"/>
      <c r="F27" s="61"/>
      <c r="G27" s="73"/>
      <c r="H27" s="61"/>
      <c r="I27" s="64">
        <f>L27*L30</f>
        <v>250324.37999999998</v>
      </c>
      <c r="J27" s="65"/>
      <c r="K27" s="61"/>
      <c r="L27" s="83">
        <v>1985</v>
      </c>
      <c r="M27" s="61"/>
      <c r="N27" s="61"/>
      <c r="O27" s="69"/>
    </row>
    <row r="28" spans="3:15" ht="15" customHeight="1" thickTop="1" thickBot="1">
      <c r="C28" s="61"/>
      <c r="D28" s="61"/>
      <c r="E28" s="61"/>
      <c r="F28" s="61"/>
      <c r="G28" s="157" t="s">
        <v>59</v>
      </c>
      <c r="H28" s="157"/>
      <c r="I28" s="61"/>
      <c r="J28" s="157" t="s">
        <v>58</v>
      </c>
      <c r="K28" s="157"/>
      <c r="L28" s="61"/>
      <c r="M28" s="61"/>
      <c r="N28" s="61"/>
      <c r="O28" s="61"/>
    </row>
    <row r="29" spans="3:15" ht="24.95" customHeight="1" thickTop="1" thickBot="1">
      <c r="C29" s="61"/>
      <c r="D29" s="61"/>
      <c r="E29" s="61"/>
      <c r="F29" s="61"/>
      <c r="G29" s="73"/>
      <c r="H29" s="61"/>
      <c r="I29" s="80"/>
      <c r="J29" s="73"/>
      <c r="K29" s="81"/>
      <c r="L29" s="76" t="s">
        <v>50</v>
      </c>
      <c r="M29" s="59"/>
      <c r="N29" s="60"/>
      <c r="O29" s="76" t="s">
        <v>51</v>
      </c>
    </row>
    <row r="30" spans="3:15" ht="15" customHeight="1" thickTop="1" thickBot="1">
      <c r="C30" s="61"/>
      <c r="D30" s="61"/>
      <c r="E30" s="61"/>
      <c r="F30" s="61"/>
      <c r="G30" s="73"/>
      <c r="H30" s="61"/>
      <c r="I30" s="61"/>
      <c r="J30" s="61"/>
      <c r="K30" s="61"/>
      <c r="L30" s="64">
        <f>O30*O33</f>
        <v>126.10799999999999</v>
      </c>
      <c r="M30" s="65"/>
      <c r="N30" s="61"/>
      <c r="O30" s="83">
        <v>1695</v>
      </c>
    </row>
    <row r="31" spans="3:15" ht="15" customHeight="1" thickTop="1" thickBot="1">
      <c r="C31" s="61"/>
      <c r="D31" s="61"/>
      <c r="E31" s="61"/>
      <c r="F31" s="61"/>
      <c r="G31" s="73"/>
      <c r="H31" s="61"/>
      <c r="I31" s="61"/>
      <c r="J31" s="61"/>
      <c r="K31" s="61"/>
      <c r="L31" s="61"/>
      <c r="M31" s="157" t="s">
        <v>58</v>
      </c>
      <c r="N31" s="157"/>
      <c r="O31" s="61"/>
    </row>
    <row r="32" spans="3:15" ht="24.95" customHeight="1" thickTop="1" thickBot="1">
      <c r="C32" s="61"/>
      <c r="D32" s="61"/>
      <c r="E32" s="72"/>
      <c r="F32" s="61"/>
      <c r="G32" s="73"/>
      <c r="H32" s="61"/>
      <c r="I32" s="61"/>
      <c r="J32" s="61"/>
      <c r="K32" s="61"/>
      <c r="L32" s="66"/>
      <c r="M32" s="73"/>
      <c r="N32" s="81"/>
      <c r="O32" s="76" t="s">
        <v>155</v>
      </c>
    </row>
    <row r="33" spans="3:15" ht="15" customHeight="1" thickTop="1" thickBot="1">
      <c r="C33" s="61"/>
      <c r="D33" s="61"/>
      <c r="E33" s="72"/>
      <c r="F33" s="61"/>
      <c r="G33" s="73"/>
      <c r="H33" s="61"/>
      <c r="I33" s="61"/>
      <c r="J33" s="61"/>
      <c r="K33" s="61"/>
      <c r="L33" s="69"/>
      <c r="M33" s="61"/>
      <c r="N33" s="61"/>
      <c r="O33" s="84">
        <v>7.4399999999999994E-2</v>
      </c>
    </row>
    <row r="34" spans="3:15" ht="15" customHeight="1" thickTop="1" thickBot="1">
      <c r="C34" s="61"/>
      <c r="D34" s="61"/>
      <c r="E34" s="61"/>
      <c r="F34" s="61"/>
      <c r="G34" s="73"/>
      <c r="H34" s="61"/>
      <c r="I34" s="61"/>
      <c r="J34" s="61"/>
      <c r="K34" s="61"/>
      <c r="L34" s="61"/>
      <c r="M34" s="61"/>
      <c r="N34" s="61"/>
      <c r="O34" s="61"/>
    </row>
    <row r="35" spans="3:15" ht="24.95" customHeight="1" thickTop="1" thickBot="1">
      <c r="C35" s="61"/>
      <c r="D35" s="61"/>
      <c r="E35" s="61"/>
      <c r="F35" s="61"/>
      <c r="G35" s="73"/>
      <c r="H35" s="59"/>
      <c r="I35" s="75" t="s">
        <v>52</v>
      </c>
      <c r="J35" s="59"/>
      <c r="K35" s="60"/>
      <c r="L35" s="76" t="s">
        <v>40</v>
      </c>
      <c r="M35" s="59"/>
      <c r="N35" s="60"/>
      <c r="O35" s="76" t="s">
        <v>41</v>
      </c>
    </row>
    <row r="36" spans="3:15" ht="15" customHeight="1" thickTop="1" thickBot="1">
      <c r="C36" s="61"/>
      <c r="D36" s="61"/>
      <c r="E36" s="61"/>
      <c r="F36" s="61"/>
      <c r="G36" s="61"/>
      <c r="H36" s="61"/>
      <c r="I36" s="64">
        <f>L36*L42*L45</f>
        <v>4166400</v>
      </c>
      <c r="J36" s="65"/>
      <c r="K36" s="61"/>
      <c r="L36" s="64">
        <f>O36*O39</f>
        <v>1920</v>
      </c>
      <c r="M36" s="65"/>
      <c r="N36" s="61"/>
      <c r="O36" s="83">
        <v>240</v>
      </c>
    </row>
    <row r="37" spans="3:15" ht="15" customHeight="1" thickTop="1" thickBot="1">
      <c r="C37" s="61"/>
      <c r="D37" s="61"/>
      <c r="E37" s="61"/>
      <c r="F37" s="61"/>
      <c r="G37" s="61"/>
      <c r="H37" s="61"/>
      <c r="I37" s="61"/>
      <c r="J37" s="157" t="s">
        <v>58</v>
      </c>
      <c r="K37" s="157"/>
      <c r="L37" s="61"/>
      <c r="M37" s="157" t="s">
        <v>58</v>
      </c>
      <c r="N37" s="157"/>
      <c r="O37" s="61"/>
    </row>
    <row r="38" spans="3:15" ht="24.95" customHeight="1" thickTop="1" thickBot="1">
      <c r="C38" s="61"/>
      <c r="D38" s="61"/>
      <c r="E38" s="61"/>
      <c r="F38" s="61"/>
      <c r="G38" s="61"/>
      <c r="H38" s="61"/>
      <c r="I38" s="82"/>
      <c r="J38" s="73"/>
      <c r="K38" s="61"/>
      <c r="L38" s="61"/>
      <c r="M38" s="73"/>
      <c r="N38" s="81"/>
      <c r="O38" s="76" t="s">
        <v>42</v>
      </c>
    </row>
    <row r="39" spans="3:15" ht="15" customHeight="1" thickTop="1" thickBot="1">
      <c r="C39" s="61"/>
      <c r="D39" s="61"/>
      <c r="E39" s="61"/>
      <c r="F39" s="61"/>
      <c r="G39" s="61"/>
      <c r="H39" s="61"/>
      <c r="I39" s="61"/>
      <c r="J39" s="73"/>
      <c r="K39" s="61"/>
      <c r="L39" s="61"/>
      <c r="M39" s="61"/>
      <c r="N39" s="61"/>
      <c r="O39" s="83">
        <v>8</v>
      </c>
    </row>
    <row r="40" spans="3:15" ht="15" customHeight="1" thickTop="1" thickBot="1">
      <c r="C40" s="61"/>
      <c r="D40" s="61"/>
      <c r="E40" s="61"/>
      <c r="F40" s="61"/>
      <c r="G40" s="61"/>
      <c r="H40" s="61"/>
      <c r="I40" s="61"/>
      <c r="J40" s="73"/>
      <c r="K40" s="61"/>
      <c r="L40" s="61"/>
      <c r="M40" s="61"/>
      <c r="N40" s="61"/>
      <c r="O40" s="61"/>
    </row>
    <row r="41" spans="3:15" ht="24.95" customHeight="1" thickTop="1" thickBot="1">
      <c r="C41" s="61"/>
      <c r="D41" s="61"/>
      <c r="E41" s="61"/>
      <c r="F41" s="61"/>
      <c r="G41" s="61"/>
      <c r="H41" s="61"/>
      <c r="I41" s="61"/>
      <c r="J41" s="73"/>
      <c r="K41" s="57"/>
      <c r="L41" s="76" t="s">
        <v>53</v>
      </c>
      <c r="M41" s="61"/>
      <c r="N41" s="61"/>
      <c r="O41" s="66"/>
    </row>
    <row r="42" spans="3:15" ht="15" customHeight="1" thickTop="1" thickBot="1">
      <c r="C42" s="61"/>
      <c r="D42" s="61"/>
      <c r="E42" s="61"/>
      <c r="F42" s="61"/>
      <c r="G42" s="61"/>
      <c r="H42" s="61"/>
      <c r="I42" s="61"/>
      <c r="J42" s="73"/>
      <c r="K42" s="61"/>
      <c r="L42" s="83">
        <v>14</v>
      </c>
      <c r="M42" s="61"/>
      <c r="N42" s="61"/>
      <c r="O42" s="69"/>
    </row>
    <row r="43" spans="3:15" ht="15" customHeight="1" thickTop="1" thickBot="1">
      <c r="C43" s="61"/>
      <c r="D43" s="61"/>
      <c r="E43" s="61"/>
      <c r="F43" s="61"/>
      <c r="G43" s="61"/>
      <c r="H43" s="61"/>
      <c r="I43" s="61"/>
      <c r="J43" s="157" t="s">
        <v>58</v>
      </c>
      <c r="K43" s="157"/>
      <c r="L43" s="61"/>
      <c r="M43" s="61"/>
      <c r="N43" s="61"/>
      <c r="O43" s="62"/>
    </row>
    <row r="44" spans="3:15" ht="24.95" customHeight="1" thickTop="1" thickBot="1">
      <c r="C44" s="62"/>
      <c r="D44" s="62"/>
      <c r="E44" s="62"/>
      <c r="F44" s="62"/>
      <c r="G44" s="62"/>
      <c r="H44" s="62"/>
      <c r="I44" s="61"/>
      <c r="J44" s="61"/>
      <c r="K44" s="81"/>
      <c r="L44" s="76" t="s">
        <v>54</v>
      </c>
      <c r="M44" s="61"/>
      <c r="N44" s="61"/>
      <c r="O44" s="66"/>
    </row>
    <row r="45" spans="3:15" ht="20.100000000000001" customHeight="1" thickTop="1" thickBot="1">
      <c r="C45" s="62"/>
      <c r="D45" s="62"/>
      <c r="E45" s="62"/>
      <c r="F45" s="62"/>
      <c r="G45" s="62"/>
      <c r="H45" s="62"/>
      <c r="I45" s="61"/>
      <c r="J45" s="61"/>
      <c r="K45" s="61"/>
      <c r="L45" s="83">
        <v>155</v>
      </c>
      <c r="M45" s="61"/>
      <c r="N45" s="61"/>
      <c r="O45" s="69"/>
    </row>
    <row r="46" spans="3:15" ht="15" customHeight="1" thickTop="1"/>
    <row r="47" spans="3:15" ht="15" hidden="1" customHeight="1"/>
    <row r="48" spans="3:15" ht="15" hidden="1" customHeight="1"/>
    <row r="49" ht="15" hidden="1" customHeight="1"/>
    <row r="50" ht="15" hidden="1" customHeight="1"/>
    <row r="51" ht="15" hidden="1" customHeight="1"/>
    <row r="52" ht="15" hidden="1" customHeight="1"/>
    <row r="53" ht="15" hidden="1" customHeight="1"/>
    <row r="54" ht="15" hidden="1" customHeight="1"/>
    <row r="55" ht="15" hidden="1" customHeight="1"/>
    <row r="56" ht="15" hidden="1" customHeight="1"/>
    <row r="57" ht="15" hidden="1" customHeight="1"/>
    <row r="58" ht="15" hidden="1" customHeight="1"/>
    <row r="59" ht="15" hidden="1" customHeight="1"/>
  </sheetData>
  <sheetProtection selectLockedCells="1"/>
  <mergeCells count="12">
    <mergeCell ref="D10:E10"/>
    <mergeCell ref="M37:N37"/>
    <mergeCell ref="J43:K43"/>
    <mergeCell ref="J37:K37"/>
    <mergeCell ref="J28:K28"/>
    <mergeCell ref="J16:K16"/>
    <mergeCell ref="G16:H16"/>
    <mergeCell ref="G28:H28"/>
    <mergeCell ref="M16:N16"/>
    <mergeCell ref="M22:N22"/>
    <mergeCell ref="G10:H10"/>
    <mergeCell ref="M31:N31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5"/>
  </sheetPr>
  <dimension ref="B1:Z80"/>
  <sheetViews>
    <sheetView showGridLines="0" zoomScaleNormal="100" workbookViewId="0">
      <selection activeCell="AA39" sqref="AA39"/>
    </sheetView>
  </sheetViews>
  <sheetFormatPr defaultColWidth="9.140625" defaultRowHeight="15" customHeight="1" outlineLevelCol="3"/>
  <cols>
    <col min="1" max="1" width="2.5703125" style="3" customWidth="1"/>
    <col min="2" max="2" width="15.7109375" style="3" customWidth="1"/>
    <col min="3" max="3" width="20.140625" style="3" customWidth="1"/>
    <col min="4" max="5" width="2.7109375" style="3" customWidth="1"/>
    <col min="6" max="6" width="20.7109375" style="3" customWidth="1"/>
    <col min="7" max="8" width="1.7109375" style="3" customWidth="1" outlineLevel="1"/>
    <col min="9" max="9" width="20.7109375" style="3" customWidth="1" outlineLevel="1"/>
    <col min="10" max="11" width="1.7109375" style="3" customWidth="1" outlineLevel="2"/>
    <col min="12" max="12" width="20.7109375" style="3" customWidth="1" outlineLevel="2"/>
    <col min="13" max="14" width="1.7109375" style="3" customWidth="1" outlineLevel="3"/>
    <col min="15" max="15" width="20.7109375" style="3" customWidth="1" outlineLevel="3"/>
    <col min="16" max="17" width="1.7109375" style="3" customWidth="1" outlineLevel="3"/>
    <col min="18" max="18" width="20.7109375" style="3" customWidth="1" outlineLevel="3"/>
    <col min="19" max="19" width="2.7109375" style="3" customWidth="1" outlineLevel="2"/>
    <col min="20" max="20" width="2.7109375" style="3" customWidth="1" outlineLevel="1"/>
    <col min="21" max="21" width="20.140625" style="3" customWidth="1" outlineLevel="1"/>
    <col min="22" max="23" width="2.7109375" style="3" customWidth="1"/>
    <col min="24" max="24" width="20.42578125" style="3" hidden="1" customWidth="1"/>
    <col min="25" max="26" width="2.7109375" style="3" hidden="1" customWidth="1"/>
    <col min="27" max="16384" width="9.140625" style="3"/>
  </cols>
  <sheetData>
    <row r="1" spans="2:18" ht="12"/>
    <row r="2" spans="2:18" ht="26.25">
      <c r="C2" s="7" t="str">
        <f>Copyright!B2</f>
        <v>Value Driver Modelling</v>
      </c>
    </row>
    <row r="3" spans="2:18" ht="21">
      <c r="C3" s="8" t="str">
        <f>Copyright!B3</f>
        <v>Example Value Driver Trees</v>
      </c>
    </row>
    <row r="4" spans="2:18" ht="18.75">
      <c r="C4" s="9" t="s">
        <v>163</v>
      </c>
    </row>
    <row r="5" spans="2:18" ht="15" customHeight="1" thickBot="1">
      <c r="F5" s="43"/>
      <c r="G5" s="43"/>
      <c r="H5" s="43"/>
      <c r="I5" s="43"/>
      <c r="J5" s="43"/>
    </row>
    <row r="6" spans="2:18" ht="24.95" customHeight="1" thickTop="1" thickBot="1">
      <c r="C6" s="58" t="s">
        <v>71</v>
      </c>
      <c r="D6" s="56"/>
      <c r="E6" s="57"/>
      <c r="F6" s="58" t="s">
        <v>109</v>
      </c>
      <c r="G6" s="56"/>
      <c r="H6" s="57"/>
      <c r="I6" s="58" t="s">
        <v>107</v>
      </c>
      <c r="J6" s="59"/>
      <c r="K6" s="60"/>
      <c r="L6" s="58" t="s">
        <v>108</v>
      </c>
      <c r="M6" s="61"/>
      <c r="N6" s="61"/>
      <c r="O6" s="61"/>
      <c r="P6" s="62"/>
      <c r="Q6" s="62"/>
      <c r="R6" s="62"/>
    </row>
    <row r="7" spans="2:18" ht="15" customHeight="1" thickTop="1" thickBot="1">
      <c r="C7" s="64">
        <f>F7-F43</f>
        <v>9065976.9533333331</v>
      </c>
      <c r="D7" s="63"/>
      <c r="E7" s="61"/>
      <c r="F7" s="64">
        <f>PRODUCT(I7,I13)</f>
        <v>31061333.333333332</v>
      </c>
      <c r="G7" s="63"/>
      <c r="H7" s="61"/>
      <c r="I7" s="88">
        <f>L10/L7</f>
        <v>28.888888888888889</v>
      </c>
      <c r="J7" s="65"/>
      <c r="K7" s="61"/>
      <c r="L7" s="84">
        <v>0.9</v>
      </c>
      <c r="M7" s="61"/>
      <c r="N7" s="61"/>
      <c r="O7" s="61"/>
      <c r="P7" s="62"/>
      <c r="Q7" s="62"/>
      <c r="R7" s="62"/>
    </row>
    <row r="8" spans="2:18" ht="15" customHeight="1" thickTop="1" thickBot="1">
      <c r="C8" s="66"/>
      <c r="D8" s="158" t="s">
        <v>72</v>
      </c>
      <c r="E8" s="159"/>
      <c r="F8" s="66"/>
      <c r="G8" s="157" t="s">
        <v>58</v>
      </c>
      <c r="H8" s="157"/>
      <c r="I8" s="66"/>
      <c r="J8" s="155" t="s">
        <v>64</v>
      </c>
      <c r="K8" s="155"/>
      <c r="L8" s="68"/>
      <c r="M8" s="62"/>
      <c r="N8" s="62"/>
      <c r="O8" s="62"/>
      <c r="P8" s="62"/>
      <c r="Q8" s="62"/>
      <c r="R8" s="62"/>
    </row>
    <row r="9" spans="2:18" ht="24.95" customHeight="1" thickTop="1" thickBot="1">
      <c r="B9" s="87" t="s">
        <v>56</v>
      </c>
      <c r="C9" s="61"/>
      <c r="D9" s="70"/>
      <c r="E9" s="62"/>
      <c r="F9" s="69"/>
      <c r="G9" s="70"/>
      <c r="H9" s="62"/>
      <c r="I9" s="69"/>
      <c r="J9" s="67"/>
      <c r="K9" s="71"/>
      <c r="L9" s="58" t="s">
        <v>106</v>
      </c>
      <c r="M9" s="62"/>
      <c r="N9" s="62"/>
      <c r="O9" s="62"/>
      <c r="P9" s="62"/>
      <c r="Q9" s="62"/>
      <c r="R9" s="62"/>
    </row>
    <row r="10" spans="2:18" ht="15" customHeight="1" thickTop="1" thickBot="1">
      <c r="B10" s="85" t="s">
        <v>57</v>
      </c>
      <c r="C10" s="61"/>
      <c r="D10" s="67"/>
      <c r="E10" s="62"/>
      <c r="F10" s="62"/>
      <c r="G10" s="67"/>
      <c r="H10" s="62"/>
      <c r="I10" s="62"/>
      <c r="J10" s="62"/>
      <c r="K10" s="72"/>
      <c r="L10" s="84">
        <v>26</v>
      </c>
      <c r="M10" s="62"/>
      <c r="N10" s="62"/>
      <c r="O10" s="62"/>
      <c r="P10" s="62"/>
      <c r="Q10" s="62"/>
      <c r="R10" s="62"/>
    </row>
    <row r="11" spans="2:18" ht="15" customHeight="1" thickTop="1" thickBot="1">
      <c r="B11" s="86" t="s">
        <v>55</v>
      </c>
      <c r="C11" s="72"/>
      <c r="D11" s="70"/>
      <c r="E11" s="62"/>
      <c r="F11" s="72"/>
      <c r="G11" s="73"/>
      <c r="H11" s="61"/>
      <c r="I11" s="61"/>
      <c r="J11" s="61"/>
      <c r="K11" s="61"/>
      <c r="L11" s="61"/>
      <c r="M11" s="61"/>
      <c r="N11" s="61"/>
      <c r="O11" s="61"/>
      <c r="P11" s="62"/>
      <c r="Q11" s="62"/>
      <c r="R11" s="62"/>
    </row>
    <row r="12" spans="2:18" ht="24.95" customHeight="1" thickTop="1" thickBot="1">
      <c r="B12" s="89" t="s">
        <v>73</v>
      </c>
      <c r="C12" s="72"/>
      <c r="D12" s="67"/>
      <c r="E12" s="62"/>
      <c r="F12" s="72"/>
      <c r="G12" s="73"/>
      <c r="H12" s="74"/>
      <c r="I12" s="75" t="s">
        <v>67</v>
      </c>
      <c r="J12" s="59"/>
      <c r="K12" s="60"/>
      <c r="L12" s="58" t="s">
        <v>66</v>
      </c>
      <c r="M12" s="59"/>
      <c r="N12" s="60"/>
      <c r="O12" s="76" t="s">
        <v>65</v>
      </c>
      <c r="P12" s="60"/>
      <c r="Q12" s="71"/>
      <c r="R12" s="58" t="s">
        <v>101</v>
      </c>
    </row>
    <row r="13" spans="2:18" ht="15" customHeight="1" thickTop="1" thickBot="1">
      <c r="D13" s="70"/>
      <c r="E13" s="62"/>
      <c r="F13" s="72"/>
      <c r="G13" s="61"/>
      <c r="H13" s="72"/>
      <c r="I13" s="64">
        <f>MIN(L13,L25,L31)</f>
        <v>1075200</v>
      </c>
      <c r="J13" s="65"/>
      <c r="K13" s="61"/>
      <c r="L13" s="64">
        <f>MIN(O13,O19)</f>
        <v>1157863.2</v>
      </c>
      <c r="M13" s="65"/>
      <c r="N13" s="61"/>
      <c r="O13" s="83">
        <f>R13*R16</f>
        <v>1600000</v>
      </c>
      <c r="P13" s="65"/>
      <c r="Q13" s="72"/>
      <c r="R13" s="83">
        <v>2000000</v>
      </c>
    </row>
    <row r="14" spans="2:18" ht="15" customHeight="1" thickTop="1" thickBot="1">
      <c r="D14" s="67"/>
      <c r="E14" s="62"/>
      <c r="F14" s="61"/>
      <c r="G14" s="61"/>
      <c r="H14" s="61"/>
      <c r="I14" s="61"/>
      <c r="J14" s="157" t="s">
        <v>68</v>
      </c>
      <c r="K14" s="157"/>
      <c r="L14" s="61"/>
      <c r="M14" s="157" t="s">
        <v>68</v>
      </c>
      <c r="N14" s="157"/>
      <c r="O14" s="61"/>
      <c r="P14" s="155" t="s">
        <v>94</v>
      </c>
      <c r="Q14" s="155"/>
      <c r="R14" s="61"/>
    </row>
    <row r="15" spans="2:18" ht="24.95" customHeight="1" thickTop="1" thickBot="1">
      <c r="D15" s="70"/>
      <c r="E15" s="62"/>
      <c r="F15" s="66"/>
      <c r="G15" s="66"/>
      <c r="H15" s="61"/>
      <c r="I15" s="61"/>
      <c r="J15" s="73"/>
      <c r="K15" s="61"/>
      <c r="L15" s="61"/>
      <c r="M15" s="73"/>
      <c r="N15" s="61"/>
      <c r="O15" s="61"/>
      <c r="P15" s="77"/>
      <c r="Q15" s="71"/>
      <c r="R15" s="58" t="s">
        <v>102</v>
      </c>
    </row>
    <row r="16" spans="2:18" ht="15" customHeight="1" thickTop="1" thickBot="1">
      <c r="D16" s="67"/>
      <c r="E16" s="62"/>
      <c r="F16" s="69"/>
      <c r="G16" s="69"/>
      <c r="H16" s="61"/>
      <c r="I16" s="61"/>
      <c r="J16" s="73"/>
      <c r="K16" s="61"/>
      <c r="L16" s="61"/>
      <c r="M16" s="73"/>
      <c r="N16" s="61"/>
      <c r="O16" s="61"/>
      <c r="P16" s="72"/>
      <c r="Q16" s="72"/>
      <c r="R16" s="84">
        <v>0.8</v>
      </c>
    </row>
    <row r="17" spans="4:18" ht="15" customHeight="1" thickTop="1" thickBot="1">
      <c r="D17" s="70"/>
      <c r="E17" s="62"/>
      <c r="F17" s="72"/>
      <c r="G17" s="61"/>
      <c r="H17" s="61"/>
      <c r="I17" s="61"/>
      <c r="J17" s="73"/>
      <c r="K17" s="61"/>
      <c r="L17" s="61"/>
      <c r="M17" s="73"/>
      <c r="N17" s="61"/>
      <c r="O17" s="61"/>
      <c r="P17" s="61"/>
      <c r="Q17" s="61"/>
      <c r="R17" s="61"/>
    </row>
    <row r="18" spans="4:18" ht="24.95" customHeight="1" thickTop="1" thickBot="1">
      <c r="D18" s="67"/>
      <c r="E18" s="62"/>
      <c r="G18" s="61"/>
      <c r="H18" s="61"/>
      <c r="I18" s="61"/>
      <c r="J18" s="73"/>
      <c r="K18" s="61"/>
      <c r="L18" s="61"/>
      <c r="M18" s="73"/>
      <c r="N18" s="59"/>
      <c r="O18" s="75" t="s">
        <v>39</v>
      </c>
      <c r="P18" s="60"/>
      <c r="Q18" s="71"/>
      <c r="R18" s="58" t="s">
        <v>154</v>
      </c>
    </row>
    <row r="19" spans="4:18" ht="15" customHeight="1" thickTop="1" thickBot="1">
      <c r="D19" s="70"/>
      <c r="E19" s="62"/>
      <c r="G19" s="61"/>
      <c r="H19" s="61"/>
      <c r="I19" s="61"/>
      <c r="J19" s="73"/>
      <c r="K19" s="61"/>
      <c r="L19" s="61"/>
      <c r="M19" s="61"/>
      <c r="N19" s="61"/>
      <c r="O19" s="83">
        <f>R19*R22</f>
        <v>1157863.2</v>
      </c>
      <c r="P19" s="65"/>
      <c r="Q19" s="72"/>
      <c r="R19" s="83">
        <v>5789316</v>
      </c>
    </row>
    <row r="20" spans="4:18" ht="15" customHeight="1" thickTop="1" thickBot="1">
      <c r="D20" s="67"/>
      <c r="E20" s="62"/>
      <c r="G20" s="72"/>
      <c r="H20" s="72"/>
      <c r="I20" s="61"/>
      <c r="J20" s="73"/>
      <c r="K20" s="61"/>
      <c r="L20" s="61"/>
      <c r="M20" s="61"/>
      <c r="N20" s="61"/>
      <c r="O20" s="61"/>
      <c r="P20" s="155" t="s">
        <v>94</v>
      </c>
      <c r="Q20" s="155"/>
      <c r="R20" s="61"/>
    </row>
    <row r="21" spans="4:18" ht="24.95" customHeight="1" thickTop="1" thickBot="1">
      <c r="D21" s="70"/>
      <c r="E21" s="62"/>
      <c r="F21" s="61"/>
      <c r="G21" s="72"/>
      <c r="H21" s="72"/>
      <c r="I21" s="61"/>
      <c r="J21" s="73"/>
      <c r="K21" s="61"/>
      <c r="L21" s="61"/>
      <c r="M21" s="61"/>
      <c r="N21" s="61"/>
      <c r="O21" s="61"/>
      <c r="P21" s="77"/>
      <c r="Q21" s="71"/>
      <c r="R21" s="78" t="s">
        <v>103</v>
      </c>
    </row>
    <row r="22" spans="4:18" ht="15" customHeight="1" thickTop="1" thickBot="1">
      <c r="D22" s="67"/>
      <c r="E22" s="62"/>
      <c r="F22" s="61"/>
      <c r="G22" s="61"/>
      <c r="H22" s="72"/>
      <c r="I22" s="61"/>
      <c r="J22" s="73"/>
      <c r="K22" s="61"/>
      <c r="L22" s="61"/>
      <c r="M22" s="61"/>
      <c r="N22" s="61"/>
      <c r="O22" s="61"/>
      <c r="P22" s="72"/>
      <c r="Q22" s="72"/>
      <c r="R22" s="84">
        <v>0.2</v>
      </c>
    </row>
    <row r="23" spans="4:18" ht="15" customHeight="1" thickTop="1" thickBot="1">
      <c r="D23" s="70"/>
      <c r="E23" s="62"/>
      <c r="F23" s="61"/>
      <c r="G23" s="61"/>
      <c r="H23" s="61"/>
      <c r="I23" s="61"/>
      <c r="J23" s="73"/>
      <c r="K23" s="61"/>
      <c r="L23" s="72"/>
      <c r="M23" s="61"/>
      <c r="N23" s="62"/>
      <c r="O23" s="62"/>
      <c r="P23" s="61"/>
      <c r="Q23" s="61"/>
      <c r="R23" s="62"/>
    </row>
    <row r="24" spans="4:18" ht="24.95" customHeight="1" thickTop="1" thickBot="1">
      <c r="D24" s="67"/>
      <c r="E24" s="62"/>
      <c r="F24" s="61"/>
      <c r="G24" s="61"/>
      <c r="H24" s="61"/>
      <c r="I24" s="61"/>
      <c r="J24" s="73"/>
      <c r="K24" s="59"/>
      <c r="L24" s="75" t="s">
        <v>104</v>
      </c>
      <c r="M24" s="59"/>
      <c r="N24" s="60"/>
      <c r="O24" s="76" t="s">
        <v>49</v>
      </c>
      <c r="P24" s="79"/>
      <c r="Q24" s="62"/>
      <c r="R24" s="66"/>
    </row>
    <row r="25" spans="4:18" ht="15" customHeight="1" thickTop="1" thickBot="1">
      <c r="D25" s="70"/>
      <c r="E25" s="62"/>
      <c r="F25" s="61"/>
      <c r="G25" s="61"/>
      <c r="H25" s="61"/>
      <c r="I25" s="61"/>
      <c r="J25" s="73"/>
      <c r="K25" s="61"/>
      <c r="L25" s="64">
        <f>O25*O28</f>
        <v>1081825</v>
      </c>
      <c r="M25" s="65"/>
      <c r="N25" s="61"/>
      <c r="O25" s="83">
        <v>1985</v>
      </c>
      <c r="P25" s="61"/>
      <c r="Q25" s="61"/>
      <c r="R25" s="69"/>
    </row>
    <row r="26" spans="4:18" ht="15" customHeight="1" thickTop="1" thickBot="1">
      <c r="D26" s="67"/>
      <c r="E26" s="62"/>
      <c r="F26" s="61"/>
      <c r="G26" s="61"/>
      <c r="H26" s="61"/>
      <c r="I26" s="61"/>
      <c r="J26" s="157" t="s">
        <v>68</v>
      </c>
      <c r="K26" s="157"/>
      <c r="L26" s="61"/>
      <c r="M26" s="157" t="s">
        <v>58</v>
      </c>
      <c r="N26" s="157"/>
      <c r="O26" s="61"/>
      <c r="P26" s="61"/>
      <c r="Q26" s="61"/>
      <c r="R26" s="61"/>
    </row>
    <row r="27" spans="4:18" ht="24.95" customHeight="1" thickTop="1" thickBot="1">
      <c r="D27" s="67"/>
      <c r="E27" s="62"/>
      <c r="F27" s="61"/>
      <c r="G27" s="61"/>
      <c r="H27" s="72"/>
      <c r="I27" s="61"/>
      <c r="J27" s="73"/>
      <c r="K27" s="61"/>
      <c r="L27" s="61"/>
      <c r="M27" s="73"/>
      <c r="N27" s="81"/>
      <c r="O27" s="76" t="s">
        <v>69</v>
      </c>
    </row>
    <row r="28" spans="4:18" ht="15" customHeight="1" thickTop="1" thickBot="1">
      <c r="D28" s="70"/>
      <c r="E28" s="62"/>
      <c r="F28" s="61"/>
      <c r="G28" s="61"/>
      <c r="H28" s="72"/>
      <c r="I28" s="61"/>
      <c r="J28" s="73"/>
      <c r="K28" s="61"/>
      <c r="L28" s="61"/>
      <c r="M28" s="61"/>
      <c r="N28" s="61"/>
      <c r="O28" s="83">
        <v>545</v>
      </c>
    </row>
    <row r="29" spans="4:18" ht="15" customHeight="1" thickTop="1" thickBot="1">
      <c r="D29" s="67"/>
      <c r="E29" s="62"/>
      <c r="F29" s="61"/>
      <c r="G29" s="61"/>
      <c r="H29" s="61"/>
      <c r="I29" s="61"/>
      <c r="J29" s="73"/>
      <c r="K29" s="61"/>
      <c r="L29" s="61"/>
      <c r="M29" s="61"/>
      <c r="N29" s="61"/>
      <c r="O29" s="61"/>
      <c r="P29" s="61"/>
      <c r="Q29" s="61"/>
      <c r="R29" s="61"/>
    </row>
    <row r="30" spans="4:18" ht="24.95" customHeight="1" thickTop="1" thickBot="1">
      <c r="D30" s="70"/>
      <c r="E30" s="62"/>
      <c r="F30" s="61"/>
      <c r="G30" s="61"/>
      <c r="H30" s="61"/>
      <c r="I30" s="61"/>
      <c r="J30" s="73"/>
      <c r="K30" s="59"/>
      <c r="L30" s="75" t="s">
        <v>105</v>
      </c>
      <c r="M30" s="59"/>
      <c r="N30" s="60"/>
      <c r="O30" s="76" t="s">
        <v>40</v>
      </c>
      <c r="P30" s="59"/>
      <c r="Q30" s="60"/>
      <c r="R30" s="76" t="s">
        <v>41</v>
      </c>
    </row>
    <row r="31" spans="4:18" ht="15" customHeight="1" thickTop="1" thickBot="1">
      <c r="D31" s="67"/>
      <c r="E31" s="62"/>
      <c r="F31" s="61"/>
      <c r="G31" s="61"/>
      <c r="H31" s="61"/>
      <c r="I31" s="61"/>
      <c r="J31" s="61"/>
      <c r="K31" s="61"/>
      <c r="L31" s="64">
        <f>O31*O37*O40</f>
        <v>1075200</v>
      </c>
      <c r="M31" s="65"/>
      <c r="N31" s="61"/>
      <c r="O31" s="64">
        <f>R31*R34</f>
        <v>1920</v>
      </c>
      <c r="P31" s="65"/>
      <c r="Q31" s="61"/>
      <c r="R31" s="83">
        <v>240</v>
      </c>
    </row>
    <row r="32" spans="4:18" ht="15" customHeight="1" thickTop="1" thickBot="1">
      <c r="D32" s="70"/>
      <c r="E32" s="62"/>
      <c r="F32" s="61"/>
      <c r="G32" s="61"/>
      <c r="H32" s="61"/>
      <c r="I32" s="61"/>
      <c r="J32" s="61"/>
      <c r="K32" s="61"/>
      <c r="L32" s="61"/>
      <c r="M32" s="157" t="s">
        <v>58</v>
      </c>
      <c r="N32" s="157"/>
      <c r="O32" s="61"/>
      <c r="P32" s="157" t="s">
        <v>58</v>
      </c>
      <c r="Q32" s="157"/>
      <c r="R32" s="61"/>
    </row>
    <row r="33" spans="4:18" ht="24.95" customHeight="1" thickTop="1" thickBot="1">
      <c r="D33" s="67"/>
      <c r="E33" s="62"/>
      <c r="F33" s="61"/>
      <c r="G33" s="61"/>
      <c r="H33" s="61"/>
      <c r="I33" s="61"/>
      <c r="J33" s="61"/>
      <c r="K33" s="61"/>
      <c r="L33" s="82"/>
      <c r="M33" s="73"/>
      <c r="N33" s="61"/>
      <c r="O33" s="61"/>
      <c r="P33" s="73"/>
      <c r="Q33" s="81"/>
      <c r="R33" s="76" t="s">
        <v>42</v>
      </c>
    </row>
    <row r="34" spans="4:18" ht="15" customHeight="1" thickTop="1" thickBot="1">
      <c r="D34" s="70"/>
      <c r="E34" s="62"/>
      <c r="F34" s="61"/>
      <c r="G34" s="61"/>
      <c r="H34" s="61"/>
      <c r="I34" s="61"/>
      <c r="J34" s="61"/>
      <c r="K34" s="61"/>
      <c r="L34" s="61"/>
      <c r="M34" s="73"/>
      <c r="N34" s="61"/>
      <c r="O34" s="61"/>
      <c r="P34" s="61"/>
      <c r="Q34" s="61"/>
      <c r="R34" s="83">
        <v>8</v>
      </c>
    </row>
    <row r="35" spans="4:18" ht="15" customHeight="1" thickTop="1" thickBot="1">
      <c r="D35" s="67"/>
      <c r="E35" s="62"/>
      <c r="F35" s="61"/>
      <c r="G35" s="61"/>
      <c r="H35" s="61"/>
      <c r="I35" s="61"/>
      <c r="J35" s="61"/>
      <c r="K35" s="61"/>
      <c r="L35" s="61"/>
      <c r="M35" s="73"/>
      <c r="N35" s="61"/>
      <c r="O35" s="61"/>
      <c r="P35" s="61"/>
      <c r="Q35" s="61"/>
      <c r="R35" s="61"/>
    </row>
    <row r="36" spans="4:18" ht="24.95" customHeight="1" thickTop="1" thickBot="1">
      <c r="D36" s="70"/>
      <c r="E36" s="62"/>
      <c r="F36" s="61"/>
      <c r="G36" s="61"/>
      <c r="H36" s="61"/>
      <c r="I36" s="61"/>
      <c r="J36" s="61"/>
      <c r="K36" s="61"/>
      <c r="L36" s="61"/>
      <c r="M36" s="73"/>
      <c r="N36" s="57"/>
      <c r="O36" s="76" t="s">
        <v>70</v>
      </c>
      <c r="P36" s="61"/>
      <c r="Q36" s="61"/>
      <c r="R36" s="66"/>
    </row>
    <row r="37" spans="4:18" ht="15" customHeight="1" thickTop="1" thickBot="1">
      <c r="D37" s="67"/>
      <c r="E37" s="62"/>
      <c r="F37" s="61"/>
      <c r="G37" s="61"/>
      <c r="H37" s="61"/>
      <c r="I37" s="61"/>
      <c r="J37" s="61"/>
      <c r="K37" s="61"/>
      <c r="L37" s="61"/>
      <c r="M37" s="73"/>
      <c r="N37" s="61"/>
      <c r="O37" s="83">
        <v>14</v>
      </c>
      <c r="P37" s="61"/>
      <c r="Q37" s="61"/>
      <c r="R37" s="69"/>
    </row>
    <row r="38" spans="4:18" ht="15" customHeight="1" thickTop="1" thickBot="1">
      <c r="D38" s="70"/>
      <c r="E38" s="62"/>
      <c r="F38" s="61"/>
      <c r="G38" s="61"/>
      <c r="H38" s="61"/>
      <c r="I38" s="61"/>
      <c r="J38" s="61"/>
      <c r="K38" s="61"/>
      <c r="L38" s="61"/>
      <c r="M38" s="157" t="s">
        <v>58</v>
      </c>
      <c r="N38" s="157"/>
      <c r="O38" s="61"/>
      <c r="P38" s="61"/>
      <c r="Q38" s="61"/>
      <c r="R38" s="62"/>
    </row>
    <row r="39" spans="4:18" ht="24.95" customHeight="1" thickTop="1" thickBot="1">
      <c r="D39" s="67"/>
      <c r="E39" s="62"/>
      <c r="F39" s="62"/>
      <c r="G39" s="62"/>
      <c r="H39" s="62"/>
      <c r="I39" s="62"/>
      <c r="J39" s="62"/>
      <c r="K39" s="62"/>
      <c r="L39" s="61"/>
      <c r="M39" s="61"/>
      <c r="N39" s="81"/>
      <c r="O39" s="76" t="s">
        <v>69</v>
      </c>
      <c r="P39" s="61"/>
      <c r="Q39" s="61"/>
      <c r="R39" s="66"/>
    </row>
    <row r="40" spans="4:18" ht="20.100000000000001" customHeight="1" thickTop="1" thickBot="1">
      <c r="D40" s="70"/>
      <c r="E40" s="62"/>
      <c r="F40" s="62"/>
      <c r="G40" s="62"/>
      <c r="H40" s="62"/>
      <c r="I40" s="62"/>
      <c r="J40" s="62"/>
      <c r="K40" s="62"/>
      <c r="L40" s="61"/>
      <c r="M40" s="61"/>
      <c r="N40" s="61"/>
      <c r="O40" s="83">
        <v>40</v>
      </c>
      <c r="P40" s="61"/>
      <c r="Q40" s="61"/>
      <c r="R40" s="69"/>
    </row>
    <row r="41" spans="4:18" ht="15" customHeight="1" thickTop="1" thickBot="1">
      <c r="D41" s="67"/>
      <c r="E41" s="62"/>
    </row>
    <row r="42" spans="4:18" ht="24.95" customHeight="1" thickTop="1" thickBot="1">
      <c r="E42" s="74"/>
      <c r="F42" s="58" t="s">
        <v>43</v>
      </c>
      <c r="G42" s="56"/>
      <c r="H42" s="57"/>
      <c r="I42" s="58" t="s">
        <v>44</v>
      </c>
      <c r="J42" s="59"/>
      <c r="K42" s="60"/>
      <c r="L42" s="58" t="s">
        <v>45</v>
      </c>
      <c r="M42" s="61"/>
      <c r="N42" s="61"/>
      <c r="O42" s="61"/>
      <c r="P42" s="62"/>
      <c r="Q42" s="62"/>
      <c r="R42" s="62"/>
    </row>
    <row r="43" spans="4:18" ht="15" customHeight="1" thickTop="1" thickBot="1">
      <c r="F43" s="64">
        <f>SUM(O49,O55,L61,L70)</f>
        <v>21995356.379999999</v>
      </c>
      <c r="G43" s="63"/>
      <c r="H43" s="61"/>
      <c r="I43" s="64">
        <f>SUM(L43,L46)</f>
        <v>612562</v>
      </c>
      <c r="J43" s="65"/>
      <c r="K43" s="61"/>
      <c r="L43" s="83">
        <v>28000</v>
      </c>
      <c r="M43" s="61"/>
      <c r="N43" s="61"/>
      <c r="O43" s="61"/>
      <c r="P43" s="62"/>
      <c r="Q43" s="62"/>
      <c r="R43" s="62"/>
    </row>
    <row r="44" spans="4:18" ht="15" customHeight="1" thickTop="1" thickBot="1">
      <c r="F44" s="66"/>
      <c r="G44" s="157" t="s">
        <v>59</v>
      </c>
      <c r="H44" s="157"/>
      <c r="I44" s="66"/>
      <c r="J44" s="157" t="s">
        <v>59</v>
      </c>
      <c r="K44" s="157"/>
      <c r="L44" s="68"/>
      <c r="M44" s="62"/>
      <c r="N44" s="62"/>
      <c r="O44" s="62"/>
      <c r="P44" s="62"/>
      <c r="Q44" s="62"/>
      <c r="R44" s="62"/>
    </row>
    <row r="45" spans="4:18" ht="24.95" customHeight="1" thickTop="1" thickBot="1">
      <c r="F45" s="69"/>
      <c r="G45" s="70"/>
      <c r="H45" s="62"/>
      <c r="I45" s="69"/>
      <c r="J45" s="67"/>
      <c r="K45" s="71"/>
      <c r="L45" s="58" t="s">
        <v>37</v>
      </c>
      <c r="M45" s="62"/>
      <c r="N45" s="62"/>
      <c r="O45" s="62"/>
      <c r="P45" s="62"/>
      <c r="Q45" s="62"/>
      <c r="R45" s="62"/>
    </row>
    <row r="46" spans="4:18" ht="15" customHeight="1" thickTop="1" thickBot="1">
      <c r="F46" s="62"/>
      <c r="G46" s="67"/>
      <c r="H46" s="62"/>
      <c r="I46" s="62"/>
      <c r="J46" s="62"/>
      <c r="K46" s="72"/>
      <c r="L46" s="83">
        <v>584562</v>
      </c>
      <c r="M46" s="62"/>
      <c r="N46" s="62"/>
      <c r="O46" s="62"/>
      <c r="P46" s="62"/>
      <c r="Q46" s="62"/>
      <c r="R46" s="62"/>
    </row>
    <row r="47" spans="4:18" ht="15" customHeight="1" thickTop="1" thickBot="1">
      <c r="F47" s="72"/>
      <c r="G47" s="73"/>
      <c r="H47" s="61"/>
      <c r="I47" s="61"/>
      <c r="J47" s="61"/>
      <c r="K47" s="61"/>
      <c r="L47" s="61"/>
      <c r="M47" s="61"/>
      <c r="N47" s="61"/>
      <c r="O47" s="61"/>
      <c r="P47" s="62"/>
      <c r="Q47" s="62"/>
      <c r="R47" s="62"/>
    </row>
    <row r="48" spans="4:18" ht="24.95" customHeight="1" thickTop="1" thickBot="1">
      <c r="F48" s="72"/>
      <c r="G48" s="73"/>
      <c r="H48" s="74"/>
      <c r="I48" s="75" t="s">
        <v>46</v>
      </c>
      <c r="J48" s="59"/>
      <c r="K48" s="60"/>
      <c r="L48" s="58" t="s">
        <v>47</v>
      </c>
      <c r="M48" s="59"/>
      <c r="N48" s="60"/>
      <c r="O48" s="76" t="s">
        <v>38</v>
      </c>
      <c r="P48" s="60"/>
      <c r="Q48" s="71"/>
      <c r="R48" s="58" t="str">
        <f>R12</f>
        <v>Consumable (L)</v>
      </c>
    </row>
    <row r="49" spans="6:18" ht="15" customHeight="1" thickTop="1" thickBot="1">
      <c r="F49" s="72"/>
      <c r="G49" s="61"/>
      <c r="H49" s="72"/>
      <c r="I49" s="64">
        <f>SUM(L49,L61,L70)</f>
        <v>21995356.379999999</v>
      </c>
      <c r="J49" s="65"/>
      <c r="K49" s="61"/>
      <c r="L49" s="64">
        <f>SUM(O49,O55)</f>
        <v>17578632</v>
      </c>
      <c r="M49" s="65"/>
      <c r="N49" s="61"/>
      <c r="O49" s="64">
        <f>R49*R52</f>
        <v>6000000</v>
      </c>
      <c r="P49" s="65"/>
      <c r="Q49" s="72"/>
      <c r="R49" s="90">
        <f>R13</f>
        <v>2000000</v>
      </c>
    </row>
    <row r="50" spans="6:18" ht="15" customHeight="1" thickTop="1" thickBot="1">
      <c r="F50" s="61"/>
      <c r="G50" s="61"/>
      <c r="H50" s="61"/>
      <c r="I50" s="61"/>
      <c r="J50" s="157" t="s">
        <v>59</v>
      </c>
      <c r="K50" s="157"/>
      <c r="L50" s="61"/>
      <c r="M50" s="157" t="s">
        <v>59</v>
      </c>
      <c r="N50" s="157"/>
      <c r="O50" s="61"/>
      <c r="P50" s="157" t="s">
        <v>58</v>
      </c>
      <c r="Q50" s="157"/>
      <c r="R50" s="61"/>
    </row>
    <row r="51" spans="6:18" ht="24.95" customHeight="1" thickTop="1" thickBot="1">
      <c r="F51" s="66"/>
      <c r="G51" s="66"/>
      <c r="H51" s="61"/>
      <c r="I51" s="61"/>
      <c r="J51" s="73"/>
      <c r="K51" s="61"/>
      <c r="L51" s="61"/>
      <c r="M51" s="73"/>
      <c r="N51" s="61"/>
      <c r="O51" s="61"/>
      <c r="P51" s="77"/>
      <c r="Q51" s="71"/>
      <c r="R51" s="58" t="s">
        <v>152</v>
      </c>
    </row>
    <row r="52" spans="6:18" ht="15" customHeight="1" thickTop="1" thickBot="1">
      <c r="F52" s="69"/>
      <c r="G52" s="69"/>
      <c r="H52" s="61"/>
      <c r="I52" s="61"/>
      <c r="J52" s="73"/>
      <c r="K52" s="61"/>
      <c r="L52" s="61"/>
      <c r="M52" s="73"/>
      <c r="N52" s="61"/>
      <c r="O52" s="61"/>
      <c r="P52" s="72"/>
      <c r="Q52" s="72"/>
      <c r="R52" s="83">
        <v>3</v>
      </c>
    </row>
    <row r="53" spans="6:18" ht="15" customHeight="1" thickTop="1" thickBot="1">
      <c r="F53" s="72"/>
      <c r="G53" s="61"/>
      <c r="H53" s="61"/>
      <c r="I53" s="61"/>
      <c r="J53" s="73"/>
      <c r="K53" s="61"/>
      <c r="L53" s="61"/>
      <c r="M53" s="73"/>
      <c r="N53" s="61"/>
      <c r="O53" s="61"/>
      <c r="P53" s="61"/>
      <c r="Q53" s="61"/>
      <c r="R53" s="61"/>
    </row>
    <row r="54" spans="6:18" ht="24.95" customHeight="1" thickTop="1" thickBot="1">
      <c r="F54" s="61"/>
      <c r="G54" s="61"/>
      <c r="H54" s="61"/>
      <c r="I54" s="61"/>
      <c r="J54" s="73"/>
      <c r="K54" s="61"/>
      <c r="L54" s="61"/>
      <c r="M54" s="73"/>
      <c r="N54" s="59"/>
      <c r="O54" s="75" t="s">
        <v>39</v>
      </c>
      <c r="P54" s="60"/>
      <c r="Q54" s="71"/>
      <c r="R54" s="58" t="str">
        <f>R18</f>
        <v>Reagents (L)</v>
      </c>
    </row>
    <row r="55" spans="6:18" ht="15" customHeight="1" thickTop="1" thickBot="1">
      <c r="F55" s="66"/>
      <c r="G55" s="61"/>
      <c r="H55" s="61"/>
      <c r="I55" s="61"/>
      <c r="J55" s="73"/>
      <c r="K55" s="61"/>
      <c r="L55" s="61"/>
      <c r="M55" s="61"/>
      <c r="N55" s="61"/>
      <c r="O55" s="64">
        <f>R55*R58</f>
        <v>11578632</v>
      </c>
      <c r="P55" s="65"/>
      <c r="Q55" s="72"/>
      <c r="R55" s="90">
        <f>R19</f>
        <v>5789316</v>
      </c>
    </row>
    <row r="56" spans="6:18" ht="15" customHeight="1" thickTop="1" thickBot="1">
      <c r="F56" s="69"/>
      <c r="G56" s="72"/>
      <c r="H56" s="72"/>
      <c r="I56" s="61"/>
      <c r="J56" s="73"/>
      <c r="K56" s="61"/>
      <c r="L56" s="61"/>
      <c r="M56" s="61"/>
      <c r="N56" s="61"/>
      <c r="O56" s="61"/>
      <c r="P56" s="157" t="s">
        <v>58</v>
      </c>
      <c r="Q56" s="157"/>
      <c r="R56" s="61"/>
    </row>
    <row r="57" spans="6:18" ht="24.95" customHeight="1" thickTop="1" thickBot="1">
      <c r="F57" s="61"/>
      <c r="G57" s="72"/>
      <c r="H57" s="72"/>
      <c r="I57" s="61"/>
      <c r="J57" s="73"/>
      <c r="K57" s="61"/>
      <c r="L57" s="61"/>
      <c r="M57" s="61"/>
      <c r="N57" s="61"/>
      <c r="O57" s="61"/>
      <c r="P57" s="77"/>
      <c r="Q57" s="71"/>
      <c r="R57" s="78" t="s">
        <v>153</v>
      </c>
    </row>
    <row r="58" spans="6:18" ht="15" customHeight="1" thickTop="1" thickBot="1">
      <c r="F58" s="61"/>
      <c r="G58" s="61"/>
      <c r="H58" s="72"/>
      <c r="I58" s="61"/>
      <c r="J58" s="73"/>
      <c r="K58" s="61"/>
      <c r="L58" s="61"/>
      <c r="M58" s="61"/>
      <c r="N58" s="61"/>
      <c r="O58" s="61"/>
      <c r="P58" s="72"/>
      <c r="Q58" s="72"/>
      <c r="R58" s="83">
        <v>2</v>
      </c>
    </row>
    <row r="59" spans="6:18" ht="15" customHeight="1" thickTop="1" thickBot="1">
      <c r="F59" s="61"/>
      <c r="G59" s="61"/>
      <c r="H59" s="61"/>
      <c r="I59" s="61"/>
      <c r="J59" s="73"/>
      <c r="K59" s="61"/>
      <c r="L59" s="72"/>
      <c r="M59" s="61"/>
      <c r="N59" s="62"/>
      <c r="O59" s="62"/>
      <c r="P59" s="61"/>
      <c r="Q59" s="61"/>
      <c r="R59" s="62"/>
    </row>
    <row r="60" spans="6:18" ht="24.95" customHeight="1" thickTop="1" thickBot="1">
      <c r="F60" s="61"/>
      <c r="G60" s="61"/>
      <c r="H60" s="61"/>
      <c r="I60" s="61"/>
      <c r="J60" s="73"/>
      <c r="K60" s="59"/>
      <c r="L60" s="75" t="s">
        <v>48</v>
      </c>
      <c r="M60" s="59"/>
      <c r="N60" s="60"/>
      <c r="O60" s="76" t="s">
        <v>49</v>
      </c>
      <c r="P60" s="79"/>
      <c r="Q60" s="62"/>
      <c r="R60" s="66"/>
    </row>
    <row r="61" spans="6:18" ht="15" customHeight="1" thickTop="1" thickBot="1">
      <c r="F61" s="61"/>
      <c r="G61" s="61"/>
      <c r="H61" s="61"/>
      <c r="I61" s="61"/>
      <c r="J61" s="73"/>
      <c r="K61" s="61"/>
      <c r="L61" s="64">
        <f>O61*O64</f>
        <v>250324.37999999998</v>
      </c>
      <c r="M61" s="65"/>
      <c r="N61" s="61"/>
      <c r="O61" s="90">
        <f>O25</f>
        <v>1985</v>
      </c>
      <c r="P61" s="61"/>
      <c r="Q61" s="61"/>
      <c r="R61" s="69"/>
    </row>
    <row r="62" spans="6:18" ht="15" customHeight="1" thickTop="1" thickBot="1">
      <c r="F62" s="61"/>
      <c r="G62" s="61"/>
      <c r="H62" s="61"/>
      <c r="I62" s="61"/>
      <c r="J62" s="157" t="s">
        <v>59</v>
      </c>
      <c r="K62" s="157"/>
      <c r="L62" s="61"/>
      <c r="M62" s="157" t="s">
        <v>58</v>
      </c>
      <c r="N62" s="157"/>
      <c r="O62" s="61"/>
      <c r="P62" s="61"/>
      <c r="Q62" s="61"/>
      <c r="R62" s="61"/>
    </row>
    <row r="63" spans="6:18" ht="24.95" customHeight="1" thickTop="1" thickBot="1">
      <c r="F63" s="61"/>
      <c r="G63" s="61"/>
      <c r="H63" s="61"/>
      <c r="I63" s="61"/>
      <c r="J63" s="73"/>
      <c r="K63" s="61"/>
      <c r="L63" s="80"/>
      <c r="M63" s="73"/>
      <c r="N63" s="81"/>
      <c r="O63" s="76" t="s">
        <v>50</v>
      </c>
      <c r="P63" s="59"/>
      <c r="Q63" s="60"/>
      <c r="R63" s="76" t="s">
        <v>51</v>
      </c>
    </row>
    <row r="64" spans="6:18" ht="15" customHeight="1" thickTop="1" thickBot="1">
      <c r="F64" s="61"/>
      <c r="G64" s="61"/>
      <c r="H64" s="61"/>
      <c r="I64" s="61"/>
      <c r="J64" s="73"/>
      <c r="K64" s="61"/>
      <c r="L64" s="61"/>
      <c r="M64" s="61"/>
      <c r="N64" s="61"/>
      <c r="O64" s="64">
        <f>R64*R67</f>
        <v>126.10799999999999</v>
      </c>
      <c r="P64" s="65"/>
      <c r="Q64" s="61"/>
      <c r="R64" s="83">
        <v>1695</v>
      </c>
    </row>
    <row r="65" spans="6:18" ht="15" customHeight="1" thickTop="1" thickBot="1">
      <c r="F65" s="61"/>
      <c r="G65" s="61"/>
      <c r="H65" s="61"/>
      <c r="I65" s="61"/>
      <c r="J65" s="73"/>
      <c r="K65" s="61"/>
      <c r="L65" s="61"/>
      <c r="M65" s="61"/>
      <c r="N65" s="61"/>
      <c r="O65" s="61"/>
      <c r="P65" s="157" t="s">
        <v>58</v>
      </c>
      <c r="Q65" s="157"/>
      <c r="R65" s="61"/>
    </row>
    <row r="66" spans="6:18" ht="24.95" customHeight="1" thickTop="1" thickBot="1">
      <c r="F66" s="61"/>
      <c r="G66" s="61"/>
      <c r="H66" s="72"/>
      <c r="I66" s="61"/>
      <c r="J66" s="73"/>
      <c r="K66" s="61"/>
      <c r="L66" s="61"/>
      <c r="M66" s="61"/>
      <c r="N66" s="61"/>
      <c r="O66" s="66"/>
      <c r="P66" s="73"/>
      <c r="Q66" s="81"/>
      <c r="R66" s="76" t="s">
        <v>155</v>
      </c>
    </row>
    <row r="67" spans="6:18" ht="15" customHeight="1" thickTop="1" thickBot="1">
      <c r="F67" s="61"/>
      <c r="G67" s="61"/>
      <c r="H67" s="72"/>
      <c r="I67" s="61"/>
      <c r="J67" s="73"/>
      <c r="K67" s="61"/>
      <c r="L67" s="61"/>
      <c r="M67" s="61"/>
      <c r="N67" s="61"/>
      <c r="O67" s="69"/>
      <c r="P67" s="61"/>
      <c r="Q67" s="61"/>
      <c r="R67" s="84">
        <v>7.4399999999999994E-2</v>
      </c>
    </row>
    <row r="68" spans="6:18" ht="15" customHeight="1" thickTop="1" thickBot="1">
      <c r="F68" s="61"/>
      <c r="G68" s="61"/>
      <c r="H68" s="61"/>
      <c r="I68" s="61"/>
      <c r="J68" s="73"/>
      <c r="K68" s="61"/>
      <c r="L68" s="61"/>
      <c r="M68" s="61"/>
      <c r="N68" s="61"/>
      <c r="O68" s="61"/>
      <c r="P68" s="61"/>
      <c r="Q68" s="61"/>
      <c r="R68" s="61"/>
    </row>
    <row r="69" spans="6:18" ht="24.95" customHeight="1" thickTop="1" thickBot="1">
      <c r="F69" s="61"/>
      <c r="G69" s="61"/>
      <c r="H69" s="61"/>
      <c r="I69" s="61"/>
      <c r="J69" s="73"/>
      <c r="K69" s="59"/>
      <c r="L69" s="75" t="s">
        <v>52</v>
      </c>
      <c r="M69" s="59"/>
      <c r="N69" s="60"/>
      <c r="O69" s="76" t="s">
        <v>40</v>
      </c>
      <c r="P69" s="59"/>
      <c r="Q69" s="60"/>
      <c r="R69" s="76" t="s">
        <v>41</v>
      </c>
    </row>
    <row r="70" spans="6:18" ht="15" customHeight="1" thickTop="1" thickBot="1">
      <c r="F70" s="61"/>
      <c r="G70" s="61"/>
      <c r="H70" s="61"/>
      <c r="I70" s="61"/>
      <c r="J70" s="61"/>
      <c r="K70" s="61"/>
      <c r="L70" s="64">
        <f>O70*O76*O79</f>
        <v>4166400</v>
      </c>
      <c r="M70" s="65"/>
      <c r="N70" s="61"/>
      <c r="O70" s="64">
        <f>R70*R73</f>
        <v>1920</v>
      </c>
      <c r="P70" s="65"/>
      <c r="Q70" s="61"/>
      <c r="R70" s="90">
        <f>R31</f>
        <v>240</v>
      </c>
    </row>
    <row r="71" spans="6:18" ht="15" customHeight="1" thickTop="1" thickBot="1">
      <c r="F71" s="61"/>
      <c r="G71" s="61"/>
      <c r="H71" s="61"/>
      <c r="I71" s="61"/>
      <c r="J71" s="61"/>
      <c r="K71" s="61"/>
      <c r="L71" s="61"/>
      <c r="M71" s="157" t="s">
        <v>58</v>
      </c>
      <c r="N71" s="157"/>
      <c r="O71" s="61"/>
      <c r="P71" s="157" t="s">
        <v>58</v>
      </c>
      <c r="Q71" s="157"/>
      <c r="R71" s="61"/>
    </row>
    <row r="72" spans="6:18" ht="24.95" customHeight="1" thickTop="1" thickBot="1">
      <c r="F72" s="61"/>
      <c r="G72" s="61"/>
      <c r="H72" s="61"/>
      <c r="I72" s="61"/>
      <c r="J72" s="61"/>
      <c r="K72" s="61"/>
      <c r="L72" s="82"/>
      <c r="M72" s="73"/>
      <c r="N72" s="61"/>
      <c r="O72" s="61"/>
      <c r="P72" s="73"/>
      <c r="Q72" s="81"/>
      <c r="R72" s="76" t="s">
        <v>42</v>
      </c>
    </row>
    <row r="73" spans="6:18" ht="15" customHeight="1" thickTop="1" thickBot="1">
      <c r="F73" s="61"/>
      <c r="G73" s="61"/>
      <c r="H73" s="61"/>
      <c r="I73" s="61"/>
      <c r="J73" s="61"/>
      <c r="K73" s="61"/>
      <c r="L73" s="61"/>
      <c r="M73" s="73"/>
      <c r="N73" s="61"/>
      <c r="O73" s="61"/>
      <c r="P73" s="61"/>
      <c r="Q73" s="61"/>
      <c r="R73" s="90">
        <f>R34</f>
        <v>8</v>
      </c>
    </row>
    <row r="74" spans="6:18" ht="15" customHeight="1" thickTop="1" thickBot="1">
      <c r="F74" s="61"/>
      <c r="G74" s="61"/>
      <c r="H74" s="61"/>
      <c r="I74" s="61"/>
      <c r="J74" s="61"/>
      <c r="K74" s="61"/>
      <c r="L74" s="61"/>
      <c r="M74" s="73"/>
      <c r="N74" s="61"/>
      <c r="O74" s="61"/>
      <c r="P74" s="61"/>
      <c r="Q74" s="61"/>
      <c r="R74" s="61"/>
    </row>
    <row r="75" spans="6:18" ht="24.95" customHeight="1" thickTop="1" thickBot="1">
      <c r="F75" s="61"/>
      <c r="G75" s="61"/>
      <c r="H75" s="61"/>
      <c r="I75" s="61"/>
      <c r="J75" s="61"/>
      <c r="K75" s="61"/>
      <c r="L75" s="61"/>
      <c r="M75" s="73"/>
      <c r="N75" s="57"/>
      <c r="O75" s="76" t="s">
        <v>53</v>
      </c>
      <c r="P75" s="61"/>
      <c r="Q75" s="61"/>
      <c r="R75" s="66"/>
    </row>
    <row r="76" spans="6:18" ht="15" customHeight="1" thickTop="1" thickBot="1">
      <c r="F76" s="61"/>
      <c r="G76" s="61"/>
      <c r="H76" s="61"/>
      <c r="I76" s="61"/>
      <c r="J76" s="61"/>
      <c r="K76" s="61"/>
      <c r="L76" s="61"/>
      <c r="M76" s="73"/>
      <c r="N76" s="61"/>
      <c r="O76" s="90">
        <f>O37</f>
        <v>14</v>
      </c>
      <c r="P76" s="61"/>
      <c r="Q76" s="61"/>
      <c r="R76" s="69"/>
    </row>
    <row r="77" spans="6:18" ht="15" customHeight="1" thickTop="1" thickBot="1">
      <c r="F77" s="61"/>
      <c r="G77" s="61"/>
      <c r="H77" s="61"/>
      <c r="I77" s="61"/>
      <c r="J77" s="61"/>
      <c r="K77" s="61"/>
      <c r="L77" s="61"/>
      <c r="M77" s="157" t="s">
        <v>58</v>
      </c>
      <c r="N77" s="157"/>
      <c r="O77" s="61"/>
      <c r="P77" s="61"/>
      <c r="Q77" s="61"/>
      <c r="R77" s="62"/>
    </row>
    <row r="78" spans="6:18" ht="24.95" customHeight="1" thickTop="1" thickBot="1">
      <c r="F78" s="62"/>
      <c r="G78" s="62"/>
      <c r="H78" s="62"/>
      <c r="I78" s="62"/>
      <c r="J78" s="62"/>
      <c r="K78" s="62"/>
      <c r="L78" s="61"/>
      <c r="M78" s="61"/>
      <c r="N78" s="81"/>
      <c r="O78" s="76" t="s">
        <v>54</v>
      </c>
      <c r="P78" s="61"/>
      <c r="Q78" s="61"/>
      <c r="R78" s="66"/>
    </row>
    <row r="79" spans="6:18" ht="15" customHeight="1" thickTop="1" thickBot="1">
      <c r="F79" s="62"/>
      <c r="G79" s="62"/>
      <c r="H79" s="62"/>
      <c r="I79" s="62"/>
      <c r="J79" s="62"/>
      <c r="K79" s="62"/>
      <c r="L79" s="61"/>
      <c r="M79" s="61"/>
      <c r="N79" s="61"/>
      <c r="O79" s="83">
        <v>155</v>
      </c>
      <c r="P79" s="61"/>
      <c r="Q79" s="61"/>
      <c r="R79" s="69"/>
    </row>
    <row r="80" spans="6:18" ht="15" customHeight="1" thickTop="1"/>
  </sheetData>
  <sheetProtection selectLockedCells="1"/>
  <mergeCells count="24">
    <mergeCell ref="M14:N14"/>
    <mergeCell ref="P14:Q14"/>
    <mergeCell ref="P20:Q20"/>
    <mergeCell ref="M77:N77"/>
    <mergeCell ref="G44:H44"/>
    <mergeCell ref="J44:K44"/>
    <mergeCell ref="J50:K50"/>
    <mergeCell ref="M50:N50"/>
    <mergeCell ref="D8:E8"/>
    <mergeCell ref="J62:K62"/>
    <mergeCell ref="M62:N62"/>
    <mergeCell ref="P65:Q65"/>
    <mergeCell ref="M71:N71"/>
    <mergeCell ref="P71:Q71"/>
    <mergeCell ref="P50:Q50"/>
    <mergeCell ref="P56:Q56"/>
    <mergeCell ref="J26:K26"/>
    <mergeCell ref="M26:N26"/>
    <mergeCell ref="M32:N32"/>
    <mergeCell ref="P32:Q32"/>
    <mergeCell ref="M38:N38"/>
    <mergeCell ref="G8:H8"/>
    <mergeCell ref="J8:K8"/>
    <mergeCell ref="J14:K14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5"/>
  </sheetPr>
  <dimension ref="A1:Z34"/>
  <sheetViews>
    <sheetView showGridLines="0" zoomScaleNormal="100" workbookViewId="0">
      <selection activeCell="I37" sqref="I37"/>
    </sheetView>
  </sheetViews>
  <sheetFormatPr defaultColWidth="0" defaultRowHeight="15" customHeight="1"/>
  <cols>
    <col min="1" max="1" width="2.5703125" style="3" customWidth="1"/>
    <col min="2" max="2" width="15.7109375" style="3" customWidth="1"/>
    <col min="3" max="3" width="20.140625" style="3" customWidth="1"/>
    <col min="4" max="5" width="2.7109375" style="3" customWidth="1"/>
    <col min="6" max="6" width="22.7109375" style="3" customWidth="1"/>
    <col min="7" max="8" width="1.7109375" style="3" customWidth="1"/>
    <col min="9" max="9" width="20.7109375" style="3" customWidth="1"/>
    <col min="10" max="11" width="1.7109375" style="3" customWidth="1"/>
    <col min="12" max="12" width="20.7109375" style="3" customWidth="1"/>
    <col min="13" max="14" width="1.7109375" style="3" customWidth="1"/>
    <col min="15" max="15" width="20.140625" style="3" customWidth="1"/>
    <col min="16" max="17" width="2.7109375" style="3" customWidth="1"/>
    <col min="18" max="18" width="20.42578125" style="3" hidden="1" customWidth="1"/>
    <col min="19" max="20" width="2.7109375" style="3" hidden="1" customWidth="1"/>
    <col min="21" max="21" width="20.42578125" style="3" hidden="1" customWidth="1"/>
    <col min="22" max="23" width="2.7109375" style="3" hidden="1" customWidth="1"/>
    <col min="24" max="24" width="20.42578125" style="3" hidden="1" customWidth="1"/>
    <col min="25" max="26" width="2.7109375" style="3" hidden="1" customWidth="1"/>
    <col min="27" max="16384" width="9.140625" style="3" hidden="1"/>
  </cols>
  <sheetData>
    <row r="1" spans="3:15" ht="12"/>
    <row r="2" spans="3:15" ht="26.25">
      <c r="C2" s="7" t="str">
        <f>Copyright!B2</f>
        <v>Value Driver Modelling</v>
      </c>
    </row>
    <row r="3" spans="3:15" ht="21">
      <c r="C3" s="8" t="str">
        <f>Copyright!B3</f>
        <v>Example Value Driver Trees</v>
      </c>
    </row>
    <row r="4" spans="3:15" ht="18.75">
      <c r="C4" s="9" t="s">
        <v>164</v>
      </c>
    </row>
    <row r="5" spans="3:15" ht="15" customHeight="1" thickBot="1">
      <c r="F5" s="43"/>
      <c r="G5" s="43"/>
      <c r="H5" s="43"/>
      <c r="I5" s="43"/>
      <c r="J5" s="43"/>
    </row>
    <row r="6" spans="3:15" ht="24.95" customHeight="1" thickTop="1" thickBot="1">
      <c r="C6" s="58" t="s">
        <v>123</v>
      </c>
      <c r="D6" s="56"/>
      <c r="E6" s="57"/>
      <c r="F6" s="58" t="s">
        <v>125</v>
      </c>
      <c r="G6" s="56"/>
      <c r="H6" s="57"/>
      <c r="I6" s="58" t="s">
        <v>150</v>
      </c>
      <c r="J6" s="61"/>
      <c r="K6" s="61"/>
      <c r="L6" s="61"/>
      <c r="M6" s="61"/>
      <c r="N6" s="61"/>
    </row>
    <row r="7" spans="3:15" ht="15" customHeight="1" thickTop="1" thickBot="1">
      <c r="C7" s="64">
        <f>F7-F19</f>
        <v>117000</v>
      </c>
      <c r="D7" s="63"/>
      <c r="E7" s="61"/>
      <c r="F7" s="64">
        <f>I7*I10</f>
        <v>225000</v>
      </c>
      <c r="G7" s="63"/>
      <c r="H7" s="61"/>
      <c r="I7" s="119">
        <v>0.3</v>
      </c>
      <c r="J7" s="61"/>
      <c r="K7" s="61"/>
      <c r="L7" s="61"/>
      <c r="M7" s="61"/>
      <c r="N7" s="61"/>
    </row>
    <row r="8" spans="3:15" ht="15" customHeight="1" thickTop="1" thickBot="1">
      <c r="C8" s="66"/>
      <c r="D8" s="158" t="s">
        <v>72</v>
      </c>
      <c r="E8" s="159"/>
      <c r="F8" s="66"/>
      <c r="G8" s="157" t="s">
        <v>58</v>
      </c>
      <c r="H8" s="157"/>
      <c r="I8" s="66"/>
      <c r="J8" s="61"/>
      <c r="K8" s="61"/>
      <c r="L8" s="61"/>
      <c r="M8" s="62"/>
      <c r="N8" s="62"/>
    </row>
    <row r="9" spans="3:15" ht="24.95" customHeight="1" thickTop="1" thickBot="1">
      <c r="C9" s="72"/>
      <c r="D9" s="67"/>
      <c r="E9" s="62"/>
      <c r="F9" s="72"/>
      <c r="G9" s="73"/>
      <c r="H9" s="74"/>
      <c r="I9" s="75" t="s">
        <v>126</v>
      </c>
      <c r="J9" s="59"/>
      <c r="K9" s="60"/>
      <c r="L9" s="75" t="s">
        <v>127</v>
      </c>
      <c r="M9" s="59"/>
      <c r="N9" s="60"/>
      <c r="O9" s="58" t="s">
        <v>128</v>
      </c>
    </row>
    <row r="10" spans="3:15" ht="15" customHeight="1" thickTop="1" thickBot="1">
      <c r="D10" s="70"/>
      <c r="E10" s="62"/>
      <c r="F10" s="72"/>
      <c r="G10" s="61"/>
      <c r="H10" s="72"/>
      <c r="I10" s="64">
        <f>L10-L16</f>
        <v>750000</v>
      </c>
      <c r="J10" s="65"/>
      <c r="K10" s="61"/>
      <c r="L10" s="64">
        <f>O10-O13</f>
        <v>1000000</v>
      </c>
      <c r="M10" s="65"/>
      <c r="N10" s="61"/>
      <c r="O10" s="64">
        <v>4000000</v>
      </c>
    </row>
    <row r="11" spans="3:15" ht="15" customHeight="1" thickTop="1" thickBot="1">
      <c r="D11" s="67"/>
      <c r="E11" s="62"/>
      <c r="F11" s="61"/>
      <c r="G11" s="61"/>
      <c r="H11" s="61"/>
      <c r="I11" s="61"/>
      <c r="J11" s="158" t="s">
        <v>72</v>
      </c>
      <c r="K11" s="159"/>
      <c r="L11" s="72"/>
      <c r="M11" s="158" t="s">
        <v>72</v>
      </c>
      <c r="N11" s="159"/>
      <c r="O11" s="61"/>
    </row>
    <row r="12" spans="3:15" ht="24.95" customHeight="1" thickTop="1" thickBot="1">
      <c r="D12" s="67"/>
      <c r="E12" s="62"/>
      <c r="F12" s="61"/>
      <c r="G12" s="61"/>
      <c r="H12" s="61"/>
      <c r="I12" s="61"/>
      <c r="J12" s="73"/>
      <c r="K12" s="72"/>
      <c r="L12" s="72"/>
      <c r="M12" s="73"/>
      <c r="N12" s="59"/>
      <c r="O12" s="75" t="s">
        <v>129</v>
      </c>
    </row>
    <row r="13" spans="3:15" ht="15" customHeight="1" thickTop="1" thickBot="1">
      <c r="D13" s="70"/>
      <c r="E13" s="62"/>
      <c r="F13" s="61"/>
      <c r="G13" s="61"/>
      <c r="H13" s="61"/>
      <c r="I13" s="61"/>
      <c r="J13" s="73"/>
      <c r="K13" s="61"/>
      <c r="L13" s="72"/>
      <c r="N13" s="61"/>
      <c r="O13" s="64">
        <v>3000000</v>
      </c>
    </row>
    <row r="14" spans="3:15" ht="15" customHeight="1" thickTop="1" thickBot="1">
      <c r="D14" s="67"/>
      <c r="E14" s="62"/>
      <c r="F14" s="61"/>
      <c r="G14" s="61"/>
      <c r="H14" s="61"/>
      <c r="I14" s="61"/>
      <c r="J14" s="73"/>
      <c r="K14" s="72"/>
    </row>
    <row r="15" spans="3:15" ht="24.95" customHeight="1" thickTop="1" thickBot="1">
      <c r="D15" s="67"/>
      <c r="E15" s="62"/>
      <c r="F15" s="61"/>
      <c r="G15" s="61"/>
      <c r="H15" s="61"/>
      <c r="I15" s="61"/>
      <c r="J15" s="73"/>
      <c r="K15" s="59"/>
      <c r="L15" s="75" t="s">
        <v>130</v>
      </c>
    </row>
    <row r="16" spans="3:15" ht="15" customHeight="1" thickTop="1" thickBot="1">
      <c r="D16" s="70"/>
      <c r="E16" s="62"/>
      <c r="F16" s="61"/>
      <c r="G16" s="61"/>
      <c r="H16" s="61"/>
      <c r="I16" s="61"/>
      <c r="J16" s="72"/>
      <c r="K16" s="72"/>
      <c r="L16" s="64">
        <v>250000</v>
      </c>
    </row>
    <row r="17" spans="3:14" ht="15" customHeight="1" thickTop="1" thickBot="1">
      <c r="D17" s="67"/>
      <c r="E17" s="62"/>
    </row>
    <row r="18" spans="3:14" ht="24.95" customHeight="1" thickTop="1" thickBot="1">
      <c r="E18" s="74"/>
      <c r="F18" s="58" t="s">
        <v>124</v>
      </c>
      <c r="G18" s="56"/>
      <c r="H18" s="57"/>
      <c r="I18" s="58" t="s">
        <v>131</v>
      </c>
      <c r="M18" s="61"/>
      <c r="N18" s="61"/>
    </row>
    <row r="19" spans="3:14" ht="15" customHeight="1" thickTop="1" thickBot="1">
      <c r="F19" s="64">
        <f>I19*I23</f>
        <v>108000</v>
      </c>
      <c r="G19" s="63"/>
      <c r="H19" s="61"/>
      <c r="I19" s="146">
        <v>0.09</v>
      </c>
      <c r="M19" s="61"/>
      <c r="N19" s="61"/>
    </row>
    <row r="20" spans="3:14" ht="15" customHeight="1" thickTop="1">
      <c r="F20" s="66"/>
      <c r="G20" s="157" t="s">
        <v>58</v>
      </c>
      <c r="H20" s="157"/>
      <c r="I20" s="66"/>
      <c r="M20" s="62"/>
      <c r="N20" s="62"/>
    </row>
    <row r="21" spans="3:14" ht="15" customHeight="1" thickBot="1">
      <c r="F21" s="72"/>
      <c r="G21" s="73"/>
      <c r="H21" s="61"/>
      <c r="I21" s="61"/>
      <c r="J21" s="61"/>
      <c r="K21" s="61"/>
      <c r="L21" s="61"/>
      <c r="M21" s="61"/>
      <c r="N21" s="61"/>
    </row>
    <row r="22" spans="3:14" ht="24.95" customHeight="1" thickTop="1" thickBot="1">
      <c r="F22" s="72"/>
      <c r="G22" s="73"/>
      <c r="H22" s="74"/>
      <c r="I22" s="75" t="s">
        <v>132</v>
      </c>
      <c r="J22" s="59"/>
      <c r="K22" s="60"/>
      <c r="L22" s="58" t="s">
        <v>133</v>
      </c>
    </row>
    <row r="23" spans="3:14" ht="15" customHeight="1" thickTop="1" thickBot="1">
      <c r="F23" s="72"/>
      <c r="G23" s="61"/>
      <c r="H23" s="72"/>
      <c r="I23" s="64">
        <f>SUM(L23,L26)</f>
        <v>1200000</v>
      </c>
      <c r="J23" s="65"/>
      <c r="K23" s="61"/>
      <c r="L23" s="64">
        <v>900000</v>
      </c>
    </row>
    <row r="24" spans="3:14" ht="15" customHeight="1" thickTop="1" thickBot="1">
      <c r="F24" s="61"/>
      <c r="G24" s="61"/>
      <c r="H24" s="61"/>
      <c r="I24" s="61"/>
      <c r="J24" s="157" t="s">
        <v>59</v>
      </c>
      <c r="K24" s="157"/>
      <c r="L24" s="61"/>
    </row>
    <row r="25" spans="3:14" ht="24.95" customHeight="1" thickTop="1" thickBot="1">
      <c r="F25" s="61"/>
      <c r="G25" s="61"/>
      <c r="H25" s="61"/>
      <c r="I25" s="61"/>
      <c r="J25" s="73"/>
      <c r="K25" s="59"/>
      <c r="L25" s="75" t="s">
        <v>134</v>
      </c>
    </row>
    <row r="26" spans="3:14" ht="15" customHeight="1" thickTop="1" thickBot="1">
      <c r="F26" s="61"/>
      <c r="G26" s="61"/>
      <c r="H26" s="61"/>
      <c r="I26" s="61"/>
      <c r="K26" s="61"/>
      <c r="L26" s="64">
        <v>300000</v>
      </c>
    </row>
    <row r="27" spans="3:14" ht="15" customHeight="1" thickTop="1"/>
    <row r="28" spans="3:14" ht="15" customHeight="1">
      <c r="C28" s="147"/>
      <c r="F28" s="148" t="s">
        <v>137</v>
      </c>
      <c r="G28" s="148"/>
      <c r="H28" s="148"/>
      <c r="I28" s="148" t="s">
        <v>136</v>
      </c>
      <c r="J28" s="148"/>
      <c r="K28" s="148"/>
      <c r="L28" s="148" t="s">
        <v>135</v>
      </c>
    </row>
    <row r="29" spans="3:14" ht="15" customHeight="1">
      <c r="F29" s="147" t="s">
        <v>138</v>
      </c>
      <c r="H29" s="147"/>
      <c r="I29" s="147" t="s">
        <v>139</v>
      </c>
      <c r="J29" s="147"/>
      <c r="K29" s="147"/>
      <c r="L29" s="150">
        <f>O10/I23</f>
        <v>3.3333333333333335</v>
      </c>
    </row>
    <row r="30" spans="3:14" ht="15" customHeight="1">
      <c r="F30" s="147" t="s">
        <v>140</v>
      </c>
      <c r="H30" s="147"/>
      <c r="I30" s="147" t="s">
        <v>149</v>
      </c>
      <c r="J30" s="147"/>
      <c r="K30" s="147"/>
      <c r="L30" s="150">
        <f>O10/L26</f>
        <v>13.333333333333334</v>
      </c>
    </row>
    <row r="31" spans="3:14" ht="15" customHeight="1">
      <c r="F31" s="147" t="s">
        <v>141</v>
      </c>
      <c r="H31" s="147"/>
      <c r="I31" s="147" t="s">
        <v>142</v>
      </c>
      <c r="J31" s="147"/>
      <c r="K31" s="147"/>
      <c r="L31" s="150">
        <f>O10/L23</f>
        <v>4.4444444444444446</v>
      </c>
    </row>
    <row r="32" spans="3:14" ht="15" customHeight="1">
      <c r="F32" s="147" t="s">
        <v>143</v>
      </c>
      <c r="H32" s="147"/>
      <c r="I32" s="147" t="s">
        <v>144</v>
      </c>
      <c r="J32" s="147"/>
      <c r="K32" s="147"/>
      <c r="L32" s="149">
        <f>I10/O10</f>
        <v>0.1875</v>
      </c>
    </row>
    <row r="33" spans="6:12" ht="15" customHeight="1">
      <c r="F33" s="147" t="s">
        <v>145</v>
      </c>
      <c r="H33" s="147"/>
      <c r="I33" s="147" t="s">
        <v>146</v>
      </c>
      <c r="J33" s="147"/>
      <c r="K33" s="147"/>
      <c r="L33" s="149">
        <f>(O10-O13)/O10</f>
        <v>0.25</v>
      </c>
    </row>
    <row r="34" spans="6:12" ht="15" customHeight="1">
      <c r="F34" s="147" t="s">
        <v>147</v>
      </c>
      <c r="H34" s="147"/>
      <c r="I34" s="147" t="s">
        <v>148</v>
      </c>
      <c r="J34" s="147"/>
      <c r="K34" s="147"/>
      <c r="L34" s="149">
        <f>F7/I23</f>
        <v>0.1875</v>
      </c>
    </row>
  </sheetData>
  <sheetProtection selectLockedCells="1"/>
  <mergeCells count="6">
    <mergeCell ref="M11:N11"/>
    <mergeCell ref="G20:H20"/>
    <mergeCell ref="J24:K24"/>
    <mergeCell ref="D8:E8"/>
    <mergeCell ref="G8:H8"/>
    <mergeCell ref="J11:K1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5"/>
  </sheetPr>
  <dimension ref="A1:M24"/>
  <sheetViews>
    <sheetView showGridLines="0" zoomScale="110" zoomScaleNormal="110" workbookViewId="0">
      <selection activeCell="A3" sqref="A3"/>
    </sheetView>
  </sheetViews>
  <sheetFormatPr defaultColWidth="0" defaultRowHeight="15" zeroHeight="1"/>
  <cols>
    <col min="1" max="1" width="4.85546875" bestFit="1" customWidth="1"/>
    <col min="2" max="2" width="3.28515625" customWidth="1"/>
    <col min="3" max="3" width="23.7109375" customWidth="1"/>
    <col min="4" max="4" width="12.7109375" style="91" bestFit="1" customWidth="1"/>
    <col min="5" max="5" width="1.7109375" style="92" customWidth="1"/>
    <col min="6" max="6" width="1.7109375" customWidth="1"/>
    <col min="7" max="7" width="34.85546875" bestFit="1" customWidth="1"/>
    <col min="8" max="8" width="13.85546875" style="91" bestFit="1" customWidth="1"/>
    <col min="9" max="9" width="1.7109375" style="92" customWidth="1"/>
    <col min="10" max="10" width="1.7109375" customWidth="1"/>
    <col min="11" max="11" width="25.28515625" bestFit="1" customWidth="1"/>
    <col min="12" max="12" width="16.5703125" style="91" customWidth="1"/>
    <col min="13" max="13" width="3.140625" customWidth="1"/>
    <col min="14" max="16384" width="9.140625" hidden="1"/>
  </cols>
  <sheetData>
    <row r="1" spans="3:12" s="3" customFormat="1" ht="26.25">
      <c r="C1" s="7" t="str">
        <f>Copyright!B2</f>
        <v>Value Driver Modelling</v>
      </c>
    </row>
    <row r="2" spans="3:12" s="3" customFormat="1" ht="21">
      <c r="C2" s="8" t="str">
        <f>Copyright!B3</f>
        <v>Example Value Driver Trees</v>
      </c>
    </row>
    <row r="3" spans="3:12" s="3" customFormat="1" ht="18.75">
      <c r="C3" s="9" t="s">
        <v>165</v>
      </c>
    </row>
    <row r="4" spans="3:12" ht="15.75" thickBot="1">
      <c r="C4" s="61"/>
      <c r="G4" s="61"/>
    </row>
    <row r="5" spans="3:12" ht="25.5" thickTop="1" thickBot="1">
      <c r="C5" s="98" t="s">
        <v>77</v>
      </c>
      <c r="D5" s="106" t="s">
        <v>78</v>
      </c>
      <c r="E5" s="93"/>
      <c r="F5" s="99"/>
      <c r="G5" s="98" t="s">
        <v>40</v>
      </c>
      <c r="H5" s="106" t="s">
        <v>82</v>
      </c>
      <c r="I5" s="103"/>
      <c r="J5" s="99"/>
      <c r="K5" s="98" t="s">
        <v>41</v>
      </c>
      <c r="L5" s="106" t="s">
        <v>80</v>
      </c>
    </row>
    <row r="6" spans="3:12" ht="15.75" thickTop="1">
      <c r="C6" s="94" t="s">
        <v>74</v>
      </c>
      <c r="D6" s="107">
        <f>PRODUCT(H6,H16,H21)</f>
        <v>2976000</v>
      </c>
      <c r="E6" s="100"/>
      <c r="G6" s="94" t="s">
        <v>74</v>
      </c>
      <c r="H6" s="107">
        <f>PRODUCT(L6,L11)</f>
        <v>1920</v>
      </c>
      <c r="I6" s="100"/>
      <c r="K6" s="94" t="s">
        <v>74</v>
      </c>
      <c r="L6" s="113">
        <v>240</v>
      </c>
    </row>
    <row r="7" spans="3:12">
      <c r="C7" s="94" t="s">
        <v>75</v>
      </c>
      <c r="D7" s="107">
        <f>PRODUCT(H7,H17,H22)</f>
        <v>2808000</v>
      </c>
      <c r="E7" s="101"/>
      <c r="G7" s="94" t="s">
        <v>75</v>
      </c>
      <c r="H7" s="108">
        <f>PRODUCT(L7,L12)</f>
        <v>2160</v>
      </c>
      <c r="I7" s="101"/>
      <c r="K7" s="94" t="s">
        <v>75</v>
      </c>
      <c r="L7" s="110">
        <v>240</v>
      </c>
    </row>
    <row r="8" spans="3:12" ht="15.75" thickBot="1">
      <c r="C8" s="95" t="s">
        <v>76</v>
      </c>
      <c r="D8" s="152">
        <f>(D7/D6)-1</f>
        <v>-5.6451612903225756E-2</v>
      </c>
      <c r="E8" s="101"/>
      <c r="G8" s="95" t="s">
        <v>76</v>
      </c>
      <c r="H8" s="153">
        <f>(H7/H6)-1</f>
        <v>0.125</v>
      </c>
      <c r="I8" s="101"/>
      <c r="K8" s="95" t="s">
        <v>76</v>
      </c>
      <c r="L8" s="112">
        <f>(L7/L6)-1</f>
        <v>0</v>
      </c>
    </row>
    <row r="9" spans="3:12" ht="6" customHeight="1" thickTop="1" thickBot="1">
      <c r="E9" s="96"/>
      <c r="I9" s="96"/>
    </row>
    <row r="10" spans="3:12" ht="25.5" thickTop="1" thickBot="1">
      <c r="E10" s="96"/>
      <c r="I10" s="96"/>
      <c r="J10" s="97"/>
      <c r="K10" s="98" t="s">
        <v>42</v>
      </c>
      <c r="L10" s="106" t="s">
        <v>79</v>
      </c>
    </row>
    <row r="11" spans="3:12" ht="15.75" thickTop="1">
      <c r="E11" s="96"/>
      <c r="K11" s="94" t="s">
        <v>74</v>
      </c>
      <c r="L11" s="113">
        <v>8</v>
      </c>
    </row>
    <row r="12" spans="3:12">
      <c r="E12" s="96"/>
      <c r="K12" s="94" t="s">
        <v>75</v>
      </c>
      <c r="L12" s="110">
        <v>9</v>
      </c>
    </row>
    <row r="13" spans="3:12" ht="15.75" thickBot="1">
      <c r="E13" s="96"/>
      <c r="K13" s="95" t="s">
        <v>76</v>
      </c>
      <c r="L13" s="153">
        <f>(L12/L11)-1</f>
        <v>0.125</v>
      </c>
    </row>
    <row r="14" spans="3:12" ht="16.5" customHeight="1" thickTop="1" thickBot="1">
      <c r="E14" s="96"/>
      <c r="K14" s="62"/>
    </row>
    <row r="15" spans="3:12" ht="25.5" thickTop="1" thickBot="1">
      <c r="E15" s="96"/>
      <c r="F15" s="97"/>
      <c r="G15" s="98" t="s">
        <v>53</v>
      </c>
      <c r="H15" s="106" t="s">
        <v>82</v>
      </c>
    </row>
    <row r="16" spans="3:12" ht="15.75" thickTop="1">
      <c r="E16" s="101"/>
      <c r="G16" s="105" t="s">
        <v>74</v>
      </c>
      <c r="H16" s="109">
        <v>10</v>
      </c>
    </row>
    <row r="17" spans="3:8">
      <c r="E17" s="101"/>
      <c r="G17" s="94" t="s">
        <v>75</v>
      </c>
      <c r="H17" s="110">
        <v>10</v>
      </c>
    </row>
    <row r="18" spans="3:8" ht="15.75" thickBot="1">
      <c r="E18" s="101"/>
      <c r="G18" s="95" t="s">
        <v>76</v>
      </c>
      <c r="H18" s="111">
        <f>(H17/H16)-1</f>
        <v>0</v>
      </c>
    </row>
    <row r="19" spans="3:8" ht="21" customHeight="1" thickTop="1" thickBot="1">
      <c r="E19" s="96"/>
    </row>
    <row r="20" spans="3:8" ht="25.5" thickTop="1" thickBot="1">
      <c r="F20" s="97"/>
      <c r="G20" s="102" t="s">
        <v>54</v>
      </c>
      <c r="H20" s="106" t="s">
        <v>81</v>
      </c>
    </row>
    <row r="21" spans="3:8" ht="15.75" thickTop="1">
      <c r="G21" s="94" t="s">
        <v>74</v>
      </c>
      <c r="H21" s="110">
        <v>155</v>
      </c>
    </row>
    <row r="22" spans="3:8">
      <c r="G22" s="94" t="s">
        <v>75</v>
      </c>
      <c r="H22" s="114">
        <v>130</v>
      </c>
    </row>
    <row r="23" spans="3:8" ht="15.75" thickBot="1">
      <c r="G23" s="95" t="s">
        <v>76</v>
      </c>
      <c r="H23" s="152">
        <f>(H22/H21)-1</f>
        <v>-0.16129032258064513</v>
      </c>
    </row>
    <row r="24" spans="3:8" ht="15.75" thickTop="1">
      <c r="C24" s="104"/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27">
    <tabColor theme="5"/>
  </sheetPr>
  <dimension ref="A2:P61"/>
  <sheetViews>
    <sheetView showGridLines="0" zoomScaleNormal="100" workbookViewId="0">
      <selection activeCell="E56" sqref="E55:E56"/>
    </sheetView>
  </sheetViews>
  <sheetFormatPr defaultColWidth="0" defaultRowHeight="12" outlineLevelRow="1"/>
  <cols>
    <col min="1" max="1" width="2.5703125" style="3" customWidth="1"/>
    <col min="2" max="2" width="3.5703125" style="3" customWidth="1"/>
    <col min="3" max="3" width="53.42578125" style="3" customWidth="1"/>
    <col min="4" max="4" width="1.7109375" style="3" customWidth="1"/>
    <col min="5" max="5" width="6.7109375" style="3" bestFit="1" customWidth="1"/>
    <col min="6" max="6" width="1.7109375" style="3" customWidth="1"/>
    <col min="7" max="7" width="7.5703125" style="3" bestFit="1" customWidth="1"/>
    <col min="8" max="8" width="1.7109375" style="3" customWidth="1"/>
    <col min="9" max="9" width="7.5703125" style="3" bestFit="1" customWidth="1"/>
    <col min="10" max="10" width="1.7109375" style="3" customWidth="1"/>
    <col min="11" max="11" width="7.5703125" style="3" bestFit="1" customWidth="1"/>
    <col min="12" max="12" width="1.7109375" style="3" customWidth="1"/>
    <col min="13" max="13" width="7.5703125" style="3" bestFit="1" customWidth="1"/>
    <col min="14" max="14" width="1.7109375" style="3" customWidth="1"/>
    <col min="15" max="15" width="7.5703125" style="3" bestFit="1" customWidth="1"/>
    <col min="16" max="16" width="3.42578125" style="3" customWidth="1"/>
    <col min="17" max="16384" width="9.140625" style="3" hidden="1"/>
  </cols>
  <sheetData>
    <row r="2" spans="2:15" ht="26.25">
      <c r="C2" s="7" t="str">
        <f>Copyright!B2</f>
        <v>Value Driver Modelling</v>
      </c>
    </row>
    <row r="3" spans="2:15" ht="21">
      <c r="C3" s="8" t="str">
        <f>Copyright!B3</f>
        <v>Example Value Driver Trees</v>
      </c>
    </row>
    <row r="4" spans="2:15" ht="18.75">
      <c r="C4" s="9" t="s">
        <v>166</v>
      </c>
    </row>
    <row r="5" spans="2:15">
      <c r="B5" s="4"/>
      <c r="C5" s="5"/>
      <c r="D5" s="4"/>
      <c r="E5" s="6"/>
      <c r="F5" s="4"/>
      <c r="G5" s="6"/>
    </row>
    <row r="6" spans="2:15" s="44" customFormat="1" ht="15">
      <c r="C6" s="10"/>
      <c r="D6" s="11"/>
      <c r="E6" s="55" t="s">
        <v>34</v>
      </c>
      <c r="F6" s="11"/>
      <c r="G6" s="45" t="s">
        <v>0</v>
      </c>
      <c r="H6" s="10"/>
      <c r="I6" s="46" t="s">
        <v>1</v>
      </c>
      <c r="J6" s="10"/>
      <c r="K6" s="47" t="s">
        <v>2</v>
      </c>
      <c r="L6" s="10"/>
      <c r="M6" s="48" t="s">
        <v>3</v>
      </c>
      <c r="N6" s="10"/>
      <c r="O6" s="52" t="s">
        <v>4</v>
      </c>
    </row>
    <row r="7" spans="2:15" ht="15">
      <c r="C7" s="12" t="s">
        <v>5</v>
      </c>
      <c r="D7" s="13"/>
      <c r="E7" s="14"/>
      <c r="F7" s="13"/>
      <c r="G7" s="14"/>
      <c r="H7" s="14"/>
      <c r="I7" s="15"/>
      <c r="J7" s="14"/>
      <c r="K7" s="15"/>
      <c r="L7" s="14"/>
      <c r="M7" s="15"/>
      <c r="N7" s="14"/>
      <c r="O7" s="15"/>
    </row>
    <row r="8" spans="2:15" ht="8.25" customHeight="1">
      <c r="C8" s="16"/>
      <c r="D8" s="13"/>
      <c r="E8" s="17"/>
      <c r="F8" s="13"/>
      <c r="G8" s="17"/>
      <c r="H8" s="14"/>
      <c r="I8" s="18"/>
      <c r="J8" s="14"/>
      <c r="K8" s="18"/>
      <c r="L8" s="14"/>
      <c r="M8" s="18"/>
      <c r="N8" s="14"/>
      <c r="O8" s="18"/>
    </row>
    <row r="9" spans="2:15" ht="15" outlineLevel="1">
      <c r="C9" s="19" t="s">
        <v>8</v>
      </c>
      <c r="D9" s="20"/>
      <c r="E9" s="21">
        <v>8760</v>
      </c>
      <c r="F9" s="20"/>
      <c r="G9" s="21">
        <v>8760</v>
      </c>
      <c r="H9"/>
      <c r="I9" s="21">
        <v>8760</v>
      </c>
      <c r="J9"/>
      <c r="K9" s="21">
        <v>8760</v>
      </c>
      <c r="L9"/>
      <c r="M9" s="21">
        <v>8760</v>
      </c>
      <c r="N9"/>
      <c r="O9" s="21">
        <v>8760</v>
      </c>
    </row>
    <row r="10" spans="2:15" ht="15" outlineLevel="1">
      <c r="C10" s="38" t="s">
        <v>9</v>
      </c>
      <c r="D10" s="20"/>
      <c r="E10" s="22">
        <f>SUM(E11:E13)</f>
        <v>1474.2092884377419</v>
      </c>
      <c r="F10" s="20"/>
      <c r="G10" s="22">
        <f>SUM(G11:G13)</f>
        <v>1474.2092884377419</v>
      </c>
      <c r="H10"/>
      <c r="I10" s="22">
        <f>SUM(I11:I13)</f>
        <v>1474.2092884377419</v>
      </c>
      <c r="J10"/>
      <c r="K10" s="22">
        <f>SUM(K11:K13)</f>
        <v>1474.2092884377419</v>
      </c>
      <c r="L10"/>
      <c r="M10" s="22">
        <f>SUM(M11:M13)</f>
        <v>1474.2092884377419</v>
      </c>
      <c r="N10"/>
      <c r="O10" s="22">
        <f>SUM(O11:O13)</f>
        <v>1474.2092884377419</v>
      </c>
    </row>
    <row r="11" spans="2:15" ht="15" outlineLevel="1">
      <c r="C11" s="39" t="s">
        <v>10</v>
      </c>
      <c r="D11" s="23"/>
      <c r="E11" s="24">
        <v>475.92061303292166</v>
      </c>
      <c r="F11" s="23"/>
      <c r="G11" s="24">
        <v>475.92061303292166</v>
      </c>
      <c r="H11"/>
      <c r="I11" s="24">
        <v>475.92061303292166</v>
      </c>
      <c r="J11"/>
      <c r="K11" s="24">
        <v>475.92061303292166</v>
      </c>
      <c r="L11"/>
      <c r="M11" s="24">
        <v>475.92061303292166</v>
      </c>
      <c r="N11"/>
      <c r="O11" s="24">
        <v>475.92061303292166</v>
      </c>
    </row>
    <row r="12" spans="2:15" ht="15" outlineLevel="1">
      <c r="C12" s="40" t="s">
        <v>11</v>
      </c>
      <c r="D12" s="23"/>
      <c r="E12" s="25">
        <v>868.37991981423841</v>
      </c>
      <c r="F12" s="23"/>
      <c r="G12" s="25">
        <v>868.37991981423841</v>
      </c>
      <c r="H12"/>
      <c r="I12" s="25">
        <v>868.37991981423841</v>
      </c>
      <c r="J12"/>
      <c r="K12" s="25">
        <v>868.37991981423841</v>
      </c>
      <c r="L12"/>
      <c r="M12" s="25">
        <v>868.37991981423841</v>
      </c>
      <c r="N12"/>
      <c r="O12" s="25">
        <v>868.37991981423841</v>
      </c>
    </row>
    <row r="13" spans="2:15" ht="15" outlineLevel="1">
      <c r="C13" s="40" t="s">
        <v>12</v>
      </c>
      <c r="D13" s="23"/>
      <c r="E13" s="25">
        <v>129.90875559058193</v>
      </c>
      <c r="F13" s="23"/>
      <c r="G13" s="25">
        <v>129.90875559058193</v>
      </c>
      <c r="H13"/>
      <c r="I13" s="25">
        <v>129.90875559058193</v>
      </c>
      <c r="J13"/>
      <c r="K13" s="25">
        <v>129.90875559058193</v>
      </c>
      <c r="L13"/>
      <c r="M13" s="25">
        <v>129.90875559058193</v>
      </c>
      <c r="N13"/>
      <c r="O13" s="25">
        <v>129.90875559058193</v>
      </c>
    </row>
    <row r="14" spans="2:15" outlineLevel="1">
      <c r="C14" s="43"/>
      <c r="D14" s="43"/>
      <c r="E14" s="43"/>
      <c r="F14" s="43"/>
      <c r="G14" s="43"/>
      <c r="I14" s="43"/>
      <c r="K14" s="43"/>
      <c r="M14" s="43"/>
      <c r="O14" s="43"/>
    </row>
    <row r="15" spans="2:15" ht="15" outlineLevel="1">
      <c r="C15" s="26" t="s">
        <v>13</v>
      </c>
      <c r="D15" s="23"/>
      <c r="E15" s="27">
        <f>E9-E10</f>
        <v>7285.7907115622584</v>
      </c>
      <c r="F15" s="23"/>
      <c r="G15" s="27">
        <f>G9-G10</f>
        <v>7285.7907115622584</v>
      </c>
      <c r="H15"/>
      <c r="I15" s="27">
        <f>I9-I10</f>
        <v>7285.7907115622584</v>
      </c>
      <c r="J15"/>
      <c r="K15" s="27">
        <f>K9-K10</f>
        <v>7285.7907115622584</v>
      </c>
      <c r="L15"/>
      <c r="M15" s="27">
        <f>M9-M10</f>
        <v>7285.7907115622584</v>
      </c>
      <c r="N15"/>
      <c r="O15" s="27">
        <f>O9-O10</f>
        <v>7285.7907115622584</v>
      </c>
    </row>
    <row r="16" spans="2:15" ht="15" outlineLevel="1">
      <c r="C16" s="41" t="s">
        <v>14</v>
      </c>
      <c r="D16" s="23"/>
      <c r="E16" s="28">
        <v>151.11783904409566</v>
      </c>
      <c r="F16" s="23"/>
      <c r="G16" s="28">
        <v>151.11783904409566</v>
      </c>
      <c r="H16"/>
      <c r="I16" s="28">
        <v>151.11783904409566</v>
      </c>
      <c r="J16"/>
      <c r="K16" s="28">
        <v>151.11783904409566</v>
      </c>
      <c r="L16"/>
      <c r="M16" s="28">
        <v>151.11783904409566</v>
      </c>
      <c r="N16"/>
      <c r="O16" s="28">
        <v>151.11783904409566</v>
      </c>
    </row>
    <row r="17" spans="3:15" ht="15" outlineLevel="1">
      <c r="C17" s="41" t="s">
        <v>15</v>
      </c>
      <c r="D17" s="23"/>
      <c r="E17" s="28">
        <v>2389.1033774674324</v>
      </c>
      <c r="F17" s="23"/>
      <c r="G17" s="28">
        <v>2389.1033774674324</v>
      </c>
      <c r="H17"/>
      <c r="I17" s="28">
        <v>2389.1033774674324</v>
      </c>
      <c r="J17"/>
      <c r="K17" s="28">
        <v>2389.1033774674324</v>
      </c>
      <c r="L17"/>
      <c r="M17" s="28">
        <v>2389.1033774674324</v>
      </c>
      <c r="N17"/>
      <c r="O17" s="28">
        <v>2389.1033774674324</v>
      </c>
    </row>
    <row r="18" spans="3:15" outlineLevel="1">
      <c r="C18" s="43"/>
      <c r="D18" s="43"/>
      <c r="E18" s="43"/>
      <c r="F18" s="43"/>
      <c r="G18" s="43"/>
      <c r="I18" s="43"/>
      <c r="K18" s="43"/>
      <c r="M18" s="43"/>
      <c r="O18" s="43"/>
    </row>
    <row r="19" spans="3:15" ht="15" outlineLevel="1" collapsed="1">
      <c r="C19" s="29" t="s">
        <v>16</v>
      </c>
      <c r="D19" s="23"/>
      <c r="E19" s="30">
        <f>E15-SUM(E16:E17)</f>
        <v>4745.5694950507304</v>
      </c>
      <c r="F19" s="23"/>
      <c r="G19" s="30">
        <f>G15-SUM(G16:G17)</f>
        <v>4745.5694950507304</v>
      </c>
      <c r="H19"/>
      <c r="I19" s="30">
        <f>I15-SUM(I16:I17)</f>
        <v>4745.5694950507304</v>
      </c>
      <c r="J19"/>
      <c r="K19" s="30">
        <f>K15-SUM(K16:K17)</f>
        <v>4745.5694950507304</v>
      </c>
      <c r="L19"/>
      <c r="M19" s="30">
        <f>M15-SUM(M16:M17)</f>
        <v>4745.5694950507304</v>
      </c>
      <c r="N19"/>
      <c r="O19" s="30">
        <f>O15-SUM(O16:O17)</f>
        <v>4745.5694950507304</v>
      </c>
    </row>
    <row r="20" spans="3:15" ht="15" outlineLevel="1">
      <c r="C20" s="42" t="s">
        <v>17</v>
      </c>
      <c r="D20" s="20"/>
      <c r="E20" s="31">
        <v>1092.7301965052759</v>
      </c>
      <c r="F20" s="20"/>
      <c r="G20" s="31">
        <v>1092.7301965052759</v>
      </c>
      <c r="H20"/>
      <c r="I20" s="31">
        <v>1092.7301965052759</v>
      </c>
      <c r="J20"/>
      <c r="K20" s="31">
        <v>1092.7301965052759</v>
      </c>
      <c r="L20"/>
      <c r="M20" s="31">
        <v>1092.7301965052759</v>
      </c>
      <c r="N20"/>
      <c r="O20" s="31">
        <v>1092.7301965052759</v>
      </c>
    </row>
    <row r="21" spans="3:15" outlineLevel="1">
      <c r="C21" s="43"/>
      <c r="D21" s="43"/>
      <c r="E21" s="43"/>
      <c r="F21" s="43"/>
      <c r="G21" s="43"/>
      <c r="I21" s="43"/>
      <c r="K21" s="43"/>
      <c r="M21" s="43"/>
      <c r="O21" s="43"/>
    </row>
    <row r="22" spans="3:15" ht="15">
      <c r="C22" s="32" t="s">
        <v>18</v>
      </c>
      <c r="D22" s="20"/>
      <c r="E22" s="34" t="s">
        <v>35</v>
      </c>
      <c r="F22" s="20"/>
      <c r="G22" s="33">
        <f>G19-G20</f>
        <v>3652.8392985454548</v>
      </c>
      <c r="H22"/>
      <c r="I22" s="33">
        <f>I19-I20</f>
        <v>3652.8392985454548</v>
      </c>
      <c r="J22"/>
      <c r="K22" s="33">
        <f>K19-K20</f>
        <v>3652.8392985454548</v>
      </c>
      <c r="L22"/>
      <c r="M22" s="33">
        <f>M19-M20</f>
        <v>3652.8392985454548</v>
      </c>
      <c r="N22"/>
      <c r="O22" s="33">
        <f>O19-O20</f>
        <v>3652.8392985454548</v>
      </c>
    </row>
    <row r="23" spans="3:15">
      <c r="C23" s="43"/>
      <c r="D23" s="43"/>
      <c r="E23" s="43"/>
      <c r="F23" s="43"/>
      <c r="G23" s="43"/>
    </row>
    <row r="24" spans="3:15" ht="15">
      <c r="C24" s="49" t="s">
        <v>21</v>
      </c>
      <c r="D24" s="20"/>
      <c r="E24" s="34" t="s">
        <v>24</v>
      </c>
      <c r="F24" s="20"/>
      <c r="G24" s="34">
        <v>54</v>
      </c>
      <c r="H24"/>
      <c r="I24" s="34">
        <v>54</v>
      </c>
      <c r="J24"/>
      <c r="K24" s="34">
        <v>54</v>
      </c>
      <c r="L24"/>
      <c r="M24" s="34">
        <v>54</v>
      </c>
      <c r="N24"/>
      <c r="O24" s="34">
        <v>54</v>
      </c>
    </row>
    <row r="25" spans="3:15" ht="15">
      <c r="C25" s="35" t="s">
        <v>19</v>
      </c>
      <c r="D25" s="20"/>
      <c r="E25" s="34" t="s">
        <v>25</v>
      </c>
      <c r="F25" s="20"/>
      <c r="G25" s="34">
        <f>G22*G24</f>
        <v>197253.32212145455</v>
      </c>
      <c r="H25"/>
      <c r="I25" s="34">
        <f>I22*I24</f>
        <v>197253.32212145455</v>
      </c>
      <c r="J25"/>
      <c r="K25" s="34">
        <f>K22*K24</f>
        <v>197253.32212145455</v>
      </c>
      <c r="L25"/>
      <c r="M25" s="34">
        <f>M22*M24</f>
        <v>197253.32212145455</v>
      </c>
      <c r="N25"/>
      <c r="O25" s="34">
        <f>O22*O24</f>
        <v>197253.32212145455</v>
      </c>
    </row>
    <row r="26" spans="3:15">
      <c r="C26" s="43"/>
      <c r="D26" s="43"/>
      <c r="E26" s="43"/>
      <c r="F26" s="43"/>
      <c r="G26" s="43"/>
      <c r="I26" s="43"/>
      <c r="K26" s="43"/>
      <c r="M26" s="43"/>
      <c r="O26" s="43"/>
    </row>
    <row r="27" spans="3:15" ht="15">
      <c r="C27" s="49" t="s">
        <v>33</v>
      </c>
      <c r="D27" s="20"/>
      <c r="E27" s="34" t="s">
        <v>26</v>
      </c>
      <c r="F27" s="20"/>
      <c r="G27" s="34">
        <v>25</v>
      </c>
      <c r="H27"/>
      <c r="I27" s="34">
        <v>24</v>
      </c>
      <c r="J27"/>
      <c r="K27" s="34">
        <v>23</v>
      </c>
      <c r="L27"/>
      <c r="M27" s="34">
        <v>22</v>
      </c>
      <c r="N27"/>
      <c r="O27" s="34">
        <v>21</v>
      </c>
    </row>
    <row r="28" spans="3:15" ht="15">
      <c r="C28" s="35" t="s">
        <v>32</v>
      </c>
      <c r="D28" s="20"/>
      <c r="E28" s="34" t="s">
        <v>27</v>
      </c>
      <c r="F28" s="20"/>
      <c r="G28" s="34">
        <f>G25/G27</f>
        <v>7890.1328848581816</v>
      </c>
      <c r="H28"/>
      <c r="I28" s="34">
        <f>I25/I27</f>
        <v>8218.8884217272735</v>
      </c>
      <c r="J28"/>
      <c r="K28" s="34">
        <f>K25/K27</f>
        <v>8576.2313965849808</v>
      </c>
      <c r="L28"/>
      <c r="M28" s="34">
        <f>M25/M27</f>
        <v>8966.0600964297519</v>
      </c>
      <c r="N28"/>
      <c r="O28" s="34">
        <f>O25/O27</f>
        <v>9393.0153391168824</v>
      </c>
    </row>
    <row r="29" spans="3:15">
      <c r="C29" s="43"/>
      <c r="D29" s="43"/>
      <c r="E29" s="43"/>
      <c r="F29" s="43"/>
      <c r="G29" s="43"/>
      <c r="I29" s="43"/>
      <c r="K29" s="43"/>
      <c r="M29" s="43"/>
      <c r="O29" s="43"/>
    </row>
    <row r="30" spans="3:15" ht="15">
      <c r="C30" s="50" t="s">
        <v>31</v>
      </c>
      <c r="D30" s="20"/>
      <c r="E30" s="34" t="s">
        <v>28</v>
      </c>
      <c r="F30" s="20"/>
      <c r="G30" s="34">
        <v>300</v>
      </c>
      <c r="H30"/>
      <c r="I30" s="34">
        <v>300</v>
      </c>
      <c r="J30"/>
      <c r="K30" s="34">
        <v>300</v>
      </c>
      <c r="L30"/>
      <c r="M30" s="34">
        <v>300</v>
      </c>
      <c r="N30"/>
      <c r="O30" s="34">
        <v>300</v>
      </c>
    </row>
    <row r="31" spans="3:15" ht="15">
      <c r="C31" s="35" t="s">
        <v>22</v>
      </c>
      <c r="D31" s="20"/>
      <c r="E31" s="34" t="s">
        <v>29</v>
      </c>
      <c r="F31" s="20"/>
      <c r="G31" s="34">
        <f>G28/G30</f>
        <v>26.300442949527273</v>
      </c>
      <c r="H31"/>
      <c r="I31" s="34">
        <f>I28/I30</f>
        <v>27.396294739090912</v>
      </c>
      <c r="J31"/>
      <c r="K31" s="34">
        <f>K28/K30</f>
        <v>28.587437988616603</v>
      </c>
      <c r="L31"/>
      <c r="M31" s="34">
        <f>M28/M30</f>
        <v>29.886866988099172</v>
      </c>
      <c r="N31"/>
      <c r="O31" s="34">
        <f>O28/O30</f>
        <v>31.310051130389606</v>
      </c>
    </row>
    <row r="32" spans="3:15">
      <c r="C32" s="43"/>
      <c r="D32" s="43"/>
      <c r="E32" s="43"/>
      <c r="F32" s="43"/>
      <c r="G32" s="43"/>
      <c r="I32" s="43"/>
      <c r="K32" s="43"/>
      <c r="M32" s="43"/>
      <c r="O32" s="43"/>
    </row>
    <row r="33" spans="3:15" ht="15">
      <c r="C33" s="50" t="s">
        <v>20</v>
      </c>
      <c r="D33" s="20"/>
      <c r="E33" s="34" t="s">
        <v>30</v>
      </c>
      <c r="F33" s="20"/>
      <c r="G33" s="34">
        <v>10</v>
      </c>
      <c r="H33"/>
      <c r="I33" s="34">
        <v>10</v>
      </c>
      <c r="J33"/>
      <c r="K33" s="34">
        <v>10</v>
      </c>
      <c r="L33"/>
      <c r="M33" s="34">
        <v>12</v>
      </c>
      <c r="N33"/>
      <c r="O33" s="34">
        <v>12</v>
      </c>
    </row>
    <row r="34" spans="3:15" ht="15">
      <c r="C34" s="36" t="s">
        <v>23</v>
      </c>
      <c r="D34" s="13"/>
      <c r="E34" s="34" t="s">
        <v>29</v>
      </c>
      <c r="F34" s="13"/>
      <c r="G34" s="37">
        <f>G31*G33</f>
        <v>263.00442949527275</v>
      </c>
      <c r="H34"/>
      <c r="I34" s="37">
        <f>I31*I33</f>
        <v>273.96294739090911</v>
      </c>
      <c r="J34"/>
      <c r="K34" s="37">
        <f>K31*K33</f>
        <v>285.87437988616603</v>
      </c>
      <c r="L34"/>
      <c r="M34" s="37">
        <f>M31*M33</f>
        <v>358.64240385719006</v>
      </c>
      <c r="N34"/>
      <c r="O34" s="37">
        <f>O31*O33</f>
        <v>375.72061356467526</v>
      </c>
    </row>
    <row r="36" spans="3:15" ht="15" outlineLevel="1">
      <c r="C36" s="51" t="s">
        <v>6</v>
      </c>
      <c r="D36" s="13"/>
      <c r="E36" s="34" t="s">
        <v>29</v>
      </c>
      <c r="F36" s="13"/>
      <c r="G36" s="24">
        <v>263.00442949527275</v>
      </c>
      <c r="H36"/>
      <c r="I36" s="24">
        <v>273.96294739090911</v>
      </c>
      <c r="J36"/>
      <c r="K36" s="24">
        <v>314.46181787478264</v>
      </c>
      <c r="L36"/>
      <c r="M36" s="24">
        <v>358.64240385719006</v>
      </c>
      <c r="N36"/>
      <c r="O36" s="24">
        <v>375.72061356467526</v>
      </c>
    </row>
    <row r="37" spans="3:15" ht="15" outlineLevel="1">
      <c r="C37" s="51" t="s">
        <v>7</v>
      </c>
      <c r="D37" s="13"/>
      <c r="E37" s="34" t="s">
        <v>29</v>
      </c>
      <c r="F37" s="13"/>
      <c r="G37" s="24">
        <f>G34-G36</f>
        <v>0</v>
      </c>
      <c r="H37"/>
      <c r="I37" s="24">
        <f>I34-I36</f>
        <v>0</v>
      </c>
      <c r="J37"/>
      <c r="K37" s="24">
        <f>K34-K36</f>
        <v>-28.587437988616614</v>
      </c>
      <c r="L37"/>
      <c r="M37" s="24">
        <f>M34-M36</f>
        <v>0</v>
      </c>
      <c r="N37"/>
      <c r="O37" s="24">
        <f>O34-O36</f>
        <v>0</v>
      </c>
    </row>
    <row r="38" spans="3:15">
      <c r="C38" s="43"/>
      <c r="D38" s="43"/>
      <c r="E38" s="43"/>
      <c r="F38" s="43"/>
      <c r="G38" s="43"/>
    </row>
    <row r="39" spans="3:15">
      <c r="C39" s="43"/>
      <c r="D39" s="43"/>
      <c r="E39" s="43"/>
      <c r="F39" s="43"/>
      <c r="G39" s="43"/>
    </row>
    <row r="40" spans="3:15">
      <c r="C40" s="43"/>
      <c r="D40" s="43"/>
      <c r="E40" s="43"/>
      <c r="F40" s="43"/>
      <c r="G40" s="43"/>
    </row>
    <row r="41" spans="3:15">
      <c r="C41" s="43"/>
      <c r="D41" s="43"/>
      <c r="E41" s="43"/>
      <c r="F41" s="43"/>
      <c r="G41" s="43"/>
    </row>
    <row r="42" spans="3:15">
      <c r="C42" s="43"/>
      <c r="D42" s="43"/>
      <c r="E42" s="43"/>
      <c r="F42" s="43"/>
      <c r="G42" s="43"/>
    </row>
    <row r="43" spans="3:15">
      <c r="C43" s="43"/>
      <c r="D43" s="43"/>
      <c r="E43" s="43"/>
      <c r="F43" s="43"/>
      <c r="G43" s="43"/>
    </row>
    <row r="44" spans="3:15">
      <c r="C44" s="43"/>
      <c r="D44" s="43"/>
      <c r="E44" s="43"/>
      <c r="F44" s="43"/>
      <c r="G44" s="43"/>
    </row>
    <row r="45" spans="3:15">
      <c r="C45" s="43"/>
      <c r="D45" s="43"/>
      <c r="E45" s="43"/>
      <c r="F45" s="43"/>
      <c r="G45" s="43"/>
    </row>
    <row r="46" spans="3:15">
      <c r="C46" s="43"/>
      <c r="D46" s="43"/>
      <c r="E46" s="43"/>
      <c r="F46" s="43"/>
      <c r="G46" s="43"/>
    </row>
    <row r="47" spans="3:15">
      <c r="C47" s="43"/>
      <c r="D47" s="43"/>
      <c r="E47" s="43"/>
      <c r="F47" s="43"/>
      <c r="G47" s="43"/>
    </row>
    <row r="48" spans="3:15">
      <c r="C48" s="43"/>
      <c r="D48" s="43"/>
      <c r="E48" s="43"/>
      <c r="F48" s="43"/>
      <c r="G48" s="43"/>
    </row>
    <row r="49" spans="3:15">
      <c r="C49" s="43"/>
      <c r="D49" s="43"/>
      <c r="E49" s="43"/>
      <c r="F49" s="43"/>
      <c r="G49" s="43"/>
    </row>
    <row r="50" spans="3:15">
      <c r="C50" s="43"/>
      <c r="D50" s="43"/>
      <c r="E50" s="43"/>
      <c r="F50" s="43"/>
      <c r="G50" s="43"/>
    </row>
    <row r="51" spans="3:15">
      <c r="C51" s="43"/>
      <c r="D51" s="43"/>
      <c r="E51" s="43"/>
      <c r="F51" s="43"/>
      <c r="G51" s="43"/>
    </row>
    <row r="52" spans="3:15">
      <c r="C52" s="43"/>
      <c r="D52" s="43"/>
      <c r="E52" s="43"/>
      <c r="F52" s="43"/>
      <c r="G52" s="43"/>
    </row>
    <row r="53" spans="3:15">
      <c r="C53" s="43"/>
      <c r="D53" s="43"/>
      <c r="E53" s="43"/>
      <c r="F53" s="43"/>
      <c r="G53" s="43"/>
    </row>
    <row r="54" spans="3:15">
      <c r="C54" s="43"/>
      <c r="D54" s="43"/>
      <c r="E54" s="43"/>
      <c r="F54" s="43"/>
      <c r="G54" s="43"/>
    </row>
    <row r="55" spans="3:15">
      <c r="C55" s="43"/>
      <c r="D55" s="43"/>
      <c r="E55" s="43"/>
      <c r="F55" s="43"/>
      <c r="G55" s="43"/>
    </row>
    <row r="56" spans="3:15">
      <c r="C56" s="43"/>
      <c r="D56" s="43"/>
      <c r="E56" s="43"/>
      <c r="F56" s="43"/>
      <c r="G56" s="43"/>
    </row>
    <row r="57" spans="3:15">
      <c r="C57" s="43"/>
      <c r="D57" s="43"/>
      <c r="E57" s="43"/>
      <c r="F57" s="43"/>
      <c r="G57" s="43"/>
    </row>
    <row r="58" spans="3:15">
      <c r="C58" s="43"/>
      <c r="D58" s="43"/>
      <c r="E58" s="43"/>
      <c r="F58" s="43"/>
      <c r="G58" s="43"/>
    </row>
    <row r="59" spans="3:15">
      <c r="C59" s="43"/>
      <c r="D59" s="43"/>
      <c r="E59" s="43"/>
      <c r="F59" s="43"/>
      <c r="G59" s="43"/>
    </row>
    <row r="60" spans="3:15">
      <c r="C60" s="53" t="s">
        <v>36</v>
      </c>
      <c r="D60" s="53"/>
      <c r="E60" s="53"/>
      <c r="F60" s="53"/>
      <c r="G60" s="53"/>
      <c r="H60" s="54"/>
      <c r="I60" s="54"/>
      <c r="J60" s="54"/>
      <c r="K60" s="54"/>
      <c r="L60" s="54"/>
      <c r="M60" s="54"/>
      <c r="N60" s="54"/>
      <c r="O60" s="54"/>
    </row>
    <row r="61" spans="3:15">
      <c r="C61" s="43"/>
      <c r="D61" s="43"/>
      <c r="E61" s="43"/>
      <c r="F61" s="43"/>
      <c r="G61" s="43"/>
    </row>
  </sheetData>
  <sheetProtection selectLockedCells="1"/>
  <pageMargins left="0.7" right="0.7" top="0.75" bottom="0.75" header="0.3" footer="0.3"/>
  <pageSetup paperSize="9" orientation="portrait" r:id="rId1"/>
  <customProperties>
    <customPr name="layoutContexts" r:id="rId2"/>
    <customPr name="SaveUndoMode" r:id="rId3"/>
  </customProperties>
  <drawing r:id="rId4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5"/>
  </sheetPr>
  <dimension ref="A1:R64"/>
  <sheetViews>
    <sheetView showGridLines="0" zoomScale="85" zoomScaleNormal="85" workbookViewId="0">
      <selection activeCell="C19" sqref="C19"/>
    </sheetView>
  </sheetViews>
  <sheetFormatPr defaultColWidth="0" defaultRowHeight="15" zeroHeight="1"/>
  <cols>
    <col min="1" max="1" width="11" customWidth="1"/>
    <col min="2" max="2" width="3" customWidth="1"/>
    <col min="3" max="3" width="19" customWidth="1"/>
    <col min="4" max="4" width="11" style="91" customWidth="1"/>
    <col min="5" max="5" width="11.5703125" style="92" bestFit="1" customWidth="1"/>
    <col min="6" max="7" width="11.5703125" bestFit="1" customWidth="1"/>
    <col min="8" max="8" width="11.5703125" style="91" bestFit="1" customWidth="1"/>
    <col min="9" max="9" width="11.5703125" style="92" bestFit="1" customWidth="1"/>
    <col min="10" max="11" width="11.5703125" bestFit="1" customWidth="1"/>
    <col min="12" max="12" width="11.5703125" style="91" bestFit="1" customWidth="1"/>
    <col min="13" max="16" width="11.5703125" bestFit="1" customWidth="1"/>
    <col min="17" max="18" width="11" customWidth="1"/>
    <col min="19" max="16384" width="11" hidden="1"/>
  </cols>
  <sheetData>
    <row r="1" spans="3:16" s="3" customFormat="1" ht="26.25">
      <c r="C1" s="7" t="str">
        <f>Copyright!B2</f>
        <v>Value Driver Modelling</v>
      </c>
    </row>
    <row r="2" spans="3:16" s="3" customFormat="1" ht="21">
      <c r="C2" s="8" t="str">
        <f>Copyright!B3</f>
        <v>Example Value Driver Trees</v>
      </c>
    </row>
    <row r="3" spans="3:16" s="3" customFormat="1" ht="18.75">
      <c r="C3" s="9" t="s">
        <v>167</v>
      </c>
      <c r="E3" s="151" t="s">
        <v>151</v>
      </c>
    </row>
    <row r="4" spans="3:16">
      <c r="C4" s="61"/>
      <c r="G4" s="61"/>
    </row>
    <row r="5" spans="3:16" s="92" customFormat="1" ht="15.75" thickBot="1">
      <c r="C5" s="104"/>
      <c r="E5" s="125" t="s">
        <v>111</v>
      </c>
      <c r="F5" s="125" t="s">
        <v>112</v>
      </c>
      <c r="G5" s="125" t="s">
        <v>113</v>
      </c>
      <c r="H5" s="125" t="s">
        <v>114</v>
      </c>
      <c r="I5" s="125" t="s">
        <v>115</v>
      </c>
      <c r="J5" s="125" t="s">
        <v>116</v>
      </c>
      <c r="K5" s="125" t="s">
        <v>111</v>
      </c>
      <c r="L5" s="125" t="s">
        <v>117</v>
      </c>
      <c r="M5" s="125" t="s">
        <v>118</v>
      </c>
      <c r="N5" s="125" t="s">
        <v>112</v>
      </c>
      <c r="O5" s="125" t="s">
        <v>118</v>
      </c>
      <c r="P5" s="125" t="s">
        <v>111</v>
      </c>
    </row>
    <row r="6" spans="3:16">
      <c r="C6" s="160" t="s">
        <v>119</v>
      </c>
      <c r="D6" s="132" t="s">
        <v>75</v>
      </c>
      <c r="E6" s="133">
        <v>1256</v>
      </c>
      <c r="F6" s="134">
        <v>1100</v>
      </c>
      <c r="G6" s="134">
        <v>1230</v>
      </c>
      <c r="H6" s="134">
        <v>1536</v>
      </c>
      <c r="I6" s="133">
        <v>1234</v>
      </c>
      <c r="J6" s="134">
        <v>1353</v>
      </c>
      <c r="K6" s="134">
        <v>1303</v>
      </c>
      <c r="L6" s="134">
        <v>960</v>
      </c>
      <c r="M6" s="134">
        <v>900</v>
      </c>
      <c r="N6" s="134">
        <v>680</v>
      </c>
      <c r="O6" s="134">
        <v>642</v>
      </c>
      <c r="P6" s="135">
        <v>1000</v>
      </c>
    </row>
    <row r="7" spans="3:16">
      <c r="C7" s="161"/>
      <c r="D7" s="127" t="s">
        <v>74</v>
      </c>
      <c r="E7" s="128">
        <v>1250</v>
      </c>
      <c r="F7" s="129">
        <v>1500</v>
      </c>
      <c r="G7" s="128">
        <v>1250</v>
      </c>
      <c r="H7" s="128">
        <v>1000</v>
      </c>
      <c r="I7" s="128">
        <v>1000</v>
      </c>
      <c r="J7" s="129">
        <v>1000</v>
      </c>
      <c r="K7" s="128">
        <v>1000</v>
      </c>
      <c r="L7" s="128">
        <v>900</v>
      </c>
      <c r="M7" s="128">
        <v>1000</v>
      </c>
      <c r="N7" s="128">
        <v>1250</v>
      </c>
      <c r="O7" s="128">
        <v>1250</v>
      </c>
      <c r="P7" s="136">
        <v>1500</v>
      </c>
    </row>
    <row r="8" spans="3:16">
      <c r="C8" s="162" t="s">
        <v>120</v>
      </c>
      <c r="D8" s="137" t="s">
        <v>75</v>
      </c>
      <c r="E8" s="138">
        <v>12</v>
      </c>
      <c r="F8" s="139">
        <v>12</v>
      </c>
      <c r="G8" s="139">
        <v>12</v>
      </c>
      <c r="H8" s="139">
        <v>13</v>
      </c>
      <c r="I8" s="138">
        <v>15</v>
      </c>
      <c r="J8" s="139">
        <v>13</v>
      </c>
      <c r="K8" s="139">
        <v>12</v>
      </c>
      <c r="L8" s="139">
        <v>11</v>
      </c>
      <c r="M8" s="139">
        <v>10</v>
      </c>
      <c r="N8" s="139">
        <v>10</v>
      </c>
      <c r="O8" s="139">
        <v>10</v>
      </c>
      <c r="P8" s="140">
        <v>10</v>
      </c>
    </row>
    <row r="9" spans="3:16">
      <c r="C9" s="162"/>
      <c r="D9" s="137" t="s">
        <v>74</v>
      </c>
      <c r="E9" s="138">
        <v>10</v>
      </c>
      <c r="F9" s="139">
        <v>10</v>
      </c>
      <c r="G9" s="139">
        <v>10</v>
      </c>
      <c r="H9" s="139">
        <v>10</v>
      </c>
      <c r="I9" s="138">
        <v>10</v>
      </c>
      <c r="J9" s="139">
        <v>9</v>
      </c>
      <c r="K9" s="139">
        <v>9</v>
      </c>
      <c r="L9" s="139">
        <v>9</v>
      </c>
      <c r="M9" s="139">
        <v>9</v>
      </c>
      <c r="N9" s="139">
        <v>9</v>
      </c>
      <c r="O9" s="139">
        <v>9</v>
      </c>
      <c r="P9" s="140">
        <v>9</v>
      </c>
    </row>
    <row r="10" spans="3:16">
      <c r="C10" s="163" t="s">
        <v>121</v>
      </c>
      <c r="D10" s="126" t="s">
        <v>75</v>
      </c>
      <c r="E10" s="130">
        <f>E8*E6</f>
        <v>15072</v>
      </c>
      <c r="F10" s="130">
        <f t="shared" ref="F10:P10" si="0">F8*F6</f>
        <v>13200</v>
      </c>
      <c r="G10" s="130">
        <f t="shared" si="0"/>
        <v>14760</v>
      </c>
      <c r="H10" s="130">
        <f t="shared" si="0"/>
        <v>19968</v>
      </c>
      <c r="I10" s="130">
        <f t="shared" si="0"/>
        <v>18510</v>
      </c>
      <c r="J10" s="130">
        <f t="shared" si="0"/>
        <v>17589</v>
      </c>
      <c r="K10" s="130">
        <f t="shared" si="0"/>
        <v>15636</v>
      </c>
      <c r="L10" s="130">
        <f t="shared" si="0"/>
        <v>10560</v>
      </c>
      <c r="M10" s="130">
        <f t="shared" si="0"/>
        <v>9000</v>
      </c>
      <c r="N10" s="130">
        <f t="shared" si="0"/>
        <v>6800</v>
      </c>
      <c r="O10" s="130">
        <f t="shared" si="0"/>
        <v>6420</v>
      </c>
      <c r="P10" s="141">
        <f t="shared" si="0"/>
        <v>10000</v>
      </c>
    </row>
    <row r="11" spans="3:16">
      <c r="C11" s="161"/>
      <c r="D11" s="127" t="s">
        <v>74</v>
      </c>
      <c r="E11" s="131">
        <f t="shared" ref="E11:P11" si="1">E9*E7</f>
        <v>12500</v>
      </c>
      <c r="F11" s="131">
        <f t="shared" si="1"/>
        <v>15000</v>
      </c>
      <c r="G11" s="131">
        <f t="shared" si="1"/>
        <v>12500</v>
      </c>
      <c r="H11" s="131">
        <f t="shared" si="1"/>
        <v>10000</v>
      </c>
      <c r="I11" s="131">
        <f t="shared" si="1"/>
        <v>10000</v>
      </c>
      <c r="J11" s="131">
        <f t="shared" si="1"/>
        <v>9000</v>
      </c>
      <c r="K11" s="131">
        <f t="shared" si="1"/>
        <v>9000</v>
      </c>
      <c r="L11" s="131">
        <f t="shared" si="1"/>
        <v>8100</v>
      </c>
      <c r="M11" s="131">
        <f t="shared" si="1"/>
        <v>9000</v>
      </c>
      <c r="N11" s="131">
        <f t="shared" si="1"/>
        <v>11250</v>
      </c>
      <c r="O11" s="131">
        <f t="shared" si="1"/>
        <v>11250</v>
      </c>
      <c r="P11" s="142">
        <f t="shared" si="1"/>
        <v>13500</v>
      </c>
    </row>
    <row r="12" spans="3:16">
      <c r="C12" s="162" t="s">
        <v>122</v>
      </c>
      <c r="D12" s="137" t="s">
        <v>75</v>
      </c>
      <c r="E12" s="138">
        <v>5000</v>
      </c>
      <c r="F12" s="139">
        <v>5500</v>
      </c>
      <c r="G12" s="139">
        <v>5600</v>
      </c>
      <c r="H12" s="139">
        <v>5700</v>
      </c>
      <c r="I12" s="138">
        <v>5000</v>
      </c>
      <c r="J12" s="139">
        <v>3000</v>
      </c>
      <c r="K12" s="139">
        <v>3000</v>
      </c>
      <c r="L12" s="139">
        <v>3500</v>
      </c>
      <c r="M12" s="139">
        <v>3400</v>
      </c>
      <c r="N12" s="139">
        <v>3600</v>
      </c>
      <c r="O12" s="139">
        <v>3400</v>
      </c>
      <c r="P12" s="140">
        <v>3000</v>
      </c>
    </row>
    <row r="13" spans="3:16">
      <c r="C13" s="162"/>
      <c r="D13" s="137" t="s">
        <v>74</v>
      </c>
      <c r="E13" s="138">
        <v>4500</v>
      </c>
      <c r="F13" s="139">
        <v>4500</v>
      </c>
      <c r="G13" s="139">
        <v>4500</v>
      </c>
      <c r="H13" s="139">
        <v>4500</v>
      </c>
      <c r="I13" s="138">
        <v>4500</v>
      </c>
      <c r="J13" s="139">
        <v>4500</v>
      </c>
      <c r="K13" s="139">
        <v>5000</v>
      </c>
      <c r="L13" s="139">
        <v>5000</v>
      </c>
      <c r="M13" s="139">
        <v>5000</v>
      </c>
      <c r="N13" s="139">
        <v>5000</v>
      </c>
      <c r="O13" s="139">
        <v>5000</v>
      </c>
      <c r="P13" s="140">
        <v>4000</v>
      </c>
    </row>
    <row r="14" spans="3:16">
      <c r="C14" s="163" t="s">
        <v>110</v>
      </c>
      <c r="D14" s="126" t="s">
        <v>75</v>
      </c>
      <c r="E14" s="130">
        <f>E10+E12</f>
        <v>20072</v>
      </c>
      <c r="F14" s="130">
        <f t="shared" ref="F14:P14" si="2">F10+F12</f>
        <v>18700</v>
      </c>
      <c r="G14" s="130">
        <f t="shared" si="2"/>
        <v>20360</v>
      </c>
      <c r="H14" s="130">
        <f t="shared" si="2"/>
        <v>25668</v>
      </c>
      <c r="I14" s="130">
        <f t="shared" si="2"/>
        <v>23510</v>
      </c>
      <c r="J14" s="130">
        <f t="shared" si="2"/>
        <v>20589</v>
      </c>
      <c r="K14" s="130">
        <f t="shared" si="2"/>
        <v>18636</v>
      </c>
      <c r="L14" s="130">
        <f t="shared" si="2"/>
        <v>14060</v>
      </c>
      <c r="M14" s="130">
        <f t="shared" si="2"/>
        <v>12400</v>
      </c>
      <c r="N14" s="130">
        <f t="shared" si="2"/>
        <v>10400</v>
      </c>
      <c r="O14" s="130">
        <f t="shared" si="2"/>
        <v>9820</v>
      </c>
      <c r="P14" s="141">
        <f t="shared" si="2"/>
        <v>13000</v>
      </c>
    </row>
    <row r="15" spans="3:16" ht="15.75" thickBot="1">
      <c r="C15" s="164"/>
      <c r="D15" s="143" t="s">
        <v>74</v>
      </c>
      <c r="E15" s="144">
        <f t="shared" ref="E15:P15" si="3">E11+E13</f>
        <v>17000</v>
      </c>
      <c r="F15" s="144">
        <f t="shared" si="3"/>
        <v>19500</v>
      </c>
      <c r="G15" s="144">
        <f t="shared" si="3"/>
        <v>17000</v>
      </c>
      <c r="H15" s="144">
        <f t="shared" si="3"/>
        <v>14500</v>
      </c>
      <c r="I15" s="144">
        <f t="shared" si="3"/>
        <v>14500</v>
      </c>
      <c r="J15" s="144">
        <f t="shared" si="3"/>
        <v>13500</v>
      </c>
      <c r="K15" s="144">
        <f t="shared" si="3"/>
        <v>14000</v>
      </c>
      <c r="L15" s="144">
        <f t="shared" si="3"/>
        <v>13100</v>
      </c>
      <c r="M15" s="144">
        <f t="shared" si="3"/>
        <v>14000</v>
      </c>
      <c r="N15" s="144">
        <f t="shared" si="3"/>
        <v>16250</v>
      </c>
      <c r="O15" s="144">
        <f t="shared" si="3"/>
        <v>16250</v>
      </c>
      <c r="P15" s="145">
        <f t="shared" si="3"/>
        <v>17500</v>
      </c>
    </row>
    <row r="16" spans="3: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</sheetData>
  <mergeCells count="5">
    <mergeCell ref="C6:C7"/>
    <mergeCell ref="C8:C9"/>
    <mergeCell ref="C10:C11"/>
    <mergeCell ref="C12:C13"/>
    <mergeCell ref="C14:C1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Copyright</vt:lpstr>
      <vt:lpstr>V2-Benefit</vt:lpstr>
      <vt:lpstr>V2-Revenue</vt:lpstr>
      <vt:lpstr>V2- Cost</vt:lpstr>
      <vt:lpstr>V2-Profit</vt:lpstr>
      <vt:lpstr>V2-Financial</vt:lpstr>
      <vt:lpstr>V2-Reporting</vt:lpstr>
      <vt:lpstr>V2-Table</vt:lpstr>
      <vt:lpstr>V2-Longitudinal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Reuben</cp:lastModifiedBy>
  <dcterms:created xsi:type="dcterms:W3CDTF">2012-04-12T03:36:38Z</dcterms:created>
  <dcterms:modified xsi:type="dcterms:W3CDTF">2015-06-20T04:54:01Z</dcterms:modified>
</cp:coreProperties>
</file>